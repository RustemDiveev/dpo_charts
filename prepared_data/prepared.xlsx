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ограммы и слушатели" sheetId="1" state="visible" r:id="rId2"/>
    <sheet name="Численность организаций ДПО" sheetId="2" state="visible" r:id="rId3"/>
    <sheet name="Структура организаций ДПО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<sst xmlns="http://schemas.openxmlformats.org/spreadsheetml/2006/main" count="89" uniqueCount="30">
  <si>
    <t xml:space="preserve">Программы повышения квалификации</t>
  </si>
  <si>
    <t xml:space="preserve">По сравнению с прошлым годом</t>
  </si>
  <si>
    <t xml:space="preserve">Программы повышения квалификации — сетевая форма</t>
  </si>
  <si>
    <t xml:space="preserve">Процент сетевой формы</t>
  </si>
  <si>
    <t xml:space="preserve">Всего слушателей (ППК)</t>
  </si>
  <si>
    <t xml:space="preserve">Всего слушателей (ППК) — сетевая форма</t>
  </si>
  <si>
    <t xml:space="preserve">Процент слушателей сетевой формы</t>
  </si>
  <si>
    <t xml:space="preserve">Программы профессиональной переподготовки</t>
  </si>
  <si>
    <t xml:space="preserve">Программы профессиональной переподготовки — сетевая форма</t>
  </si>
  <si>
    <t xml:space="preserve">Всего слушателей (ППП)</t>
  </si>
  <si>
    <t xml:space="preserve">Всего слушателей (ППП) — сетевая форма</t>
  </si>
  <si>
    <t xml:space="preserve">Организация дополнительного профессионального образования</t>
  </si>
  <si>
    <t xml:space="preserve">Профессиональная образовательная организация</t>
  </si>
  <si>
    <t xml:space="preserve">Образовательная организация высшего образования</t>
  </si>
  <si>
    <t xml:space="preserve">Научная организация </t>
  </si>
  <si>
    <t xml:space="preserve">Иная организация</t>
  </si>
  <si>
    <t xml:space="preserve">Всего</t>
  </si>
  <si>
    <t xml:space="preserve">Научно-исследовательские подразделения</t>
  </si>
  <si>
    <t xml:space="preserve">Структурные подразделения, осущ обр деятельность</t>
  </si>
  <si>
    <t xml:space="preserve">Лаборатории</t>
  </si>
  <si>
    <t xml:space="preserve">Научно-образовательные центры</t>
  </si>
  <si>
    <t xml:space="preserve">Конструкторские бюро</t>
  </si>
  <si>
    <t xml:space="preserve">Редакционно-издательские подразделения</t>
  </si>
  <si>
    <t xml:space="preserve">Учебные базы практик</t>
  </si>
  <si>
    <t xml:space="preserve">Учебные и производственные мастерские</t>
  </si>
  <si>
    <t xml:space="preserve">Аспирантура</t>
  </si>
  <si>
    <t xml:space="preserve">Докторантура</t>
  </si>
  <si>
    <t xml:space="preserve">Ординатура</t>
  </si>
  <si>
    <t xml:space="preserve">Учебный центр профессиональной квалификации</t>
  </si>
  <si>
    <t xml:space="preserve">Другие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</si>
</sst>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8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00"/>
      <name val="Times New Roman"/>
      <family val="0"/>
      <charset val="204"/>
    </font>
    <font>
      <b val="true"/>
      <sz val="10"/>
      <color rgb="FF000000"/>
      <name val="Times New Roman"/>
      <family val="0"/>
      <charset val="204"/>
    </font>
    <font>
      <sz val="12"/>
      <color rgb="FF000000"/>
      <name val="Times New Roman"/>
      <family val="1"/>
      <charset val="204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  <fill>
      <patternFill patternType="solid">
        <fgColor rgb="FFFFDBB6"/>
        <bgColor rgb="FFFFF5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22" activeCellId="0" sqref="D2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.31"/>
    <col collapsed="false" customWidth="true" hidden="false" outlineLevel="0" max="2" min="2" style="0" width="14.33"/>
  </cols>
  <sheetData>
    <row r="1" customFormat="false" ht="15" hidden="false" customHeight="false" outlineLevel="0" collapsed="false">
      <c r="B1" s="0" t="n">
        <v>2016</v>
      </c>
      <c r="C1" s="0" t="n">
        <v>2017</v>
      </c>
      <c r="D1" s="0" t="n">
        <v>2018</v>
      </c>
      <c r="E1" s="0" t="n">
        <v>2019</v>
      </c>
      <c r="F1" s="0" t="n">
        <v>2020</v>
      </c>
      <c r="G1" s="0" t="n">
        <v>2021</v>
      </c>
      <c r="H1" s="0" t="n">
        <v>2022</v>
      </c>
      <c r="I1" s="0" t="n">
        <v>2023</v>
      </c>
      <c r="J1" s="0" t="n">
        <v>2024</v>
      </c>
    </row>
    <row r="2" customFormat="false" ht="13.8" hidden="false" customHeight="false" outlineLevel="0" collapsed="false">
      <c r="A2" s="0" t="s">
        <v>0</v>
      </c>
      <c r="B2" s="0" t="n">
        <v>145888</v>
      </c>
      <c r="C2" s="0" t="n">
        <v>155527</v>
      </c>
      <c r="D2" s="0" t="n">
        <v>200096</v>
      </c>
      <c r="E2" s="0" t="n">
        <v>222747</v>
      </c>
      <c r="F2" s="0" t="n">
        <v>211523</v>
      </c>
      <c r="G2" s="0" t="n">
        <v>217917</v>
      </c>
      <c r="H2" s="0" t="n">
        <v>261058</v>
      </c>
      <c r="I2" s="0" t="n">
        <v>272568</v>
      </c>
      <c r="J2" s="0" t="n">
        <v>309398</v>
      </c>
    </row>
    <row r="3" customFormat="false" ht="13.8" hidden="false" customHeight="false" outlineLevel="0" collapsed="false">
      <c r="A3" s="0" t="s">
        <v>1</v>
      </c>
      <c r="C3" s="1" t="n">
        <f aca="false">(C2/B2) - 1</f>
        <v>0.0660712327264752</v>
      </c>
      <c r="D3" s="2" t="n">
        <f aca="false">(D2/C2) - 1</f>
        <v>0.286567605624747</v>
      </c>
      <c r="E3" s="1" t="n">
        <f aca="false">(E2/D2) - 1</f>
        <v>0.113200663681433</v>
      </c>
      <c r="F3" s="2" t="n">
        <f aca="false">(F2/E2) - 1</f>
        <v>-0.0503890063614774</v>
      </c>
      <c r="G3" s="1" t="n">
        <f aca="false">(G2/F2) - 1</f>
        <v>0.0302283912387777</v>
      </c>
      <c r="H3" s="1" t="n">
        <f aca="false">(H2/G2) - 1</f>
        <v>0.19796986926215</v>
      </c>
      <c r="I3" s="1" t="n">
        <f aca="false">(I2/H2) - 1</f>
        <v>0.0440898191206551</v>
      </c>
      <c r="J3" s="1" t="n">
        <f aca="false">(J2/I2) - 1</f>
        <v>0.135122244724252</v>
      </c>
    </row>
    <row r="4" customFormat="false" ht="15" hidden="false" customHeight="false" outlineLevel="0" collapsed="false">
      <c r="A4" s="0" t="s">
        <v>2</v>
      </c>
      <c r="B4" s="0" t="n">
        <v>4878</v>
      </c>
      <c r="C4" s="3" t="n">
        <v>6536</v>
      </c>
      <c r="D4" s="4" t="n">
        <v>8610</v>
      </c>
      <c r="E4" s="4" t="n">
        <v>3906</v>
      </c>
      <c r="F4" s="4" t="n">
        <v>4885</v>
      </c>
      <c r="G4" s="4" t="n">
        <v>6083</v>
      </c>
      <c r="H4" s="4" t="n">
        <v>4704</v>
      </c>
      <c r="I4" s="4" t="n">
        <v>5212</v>
      </c>
      <c r="J4" s="4" t="n">
        <v>5760</v>
      </c>
    </row>
    <row r="5" customFormat="false" ht="13.8" hidden="false" customHeight="false" outlineLevel="0" collapsed="false">
      <c r="A5" s="0" t="s">
        <v>1</v>
      </c>
      <c r="C5" s="1" t="n">
        <f aca="false">C4/B4 - 1</f>
        <v>0.339893398933989</v>
      </c>
      <c r="D5" s="1" t="n">
        <f aca="false">D4/C4 - 1</f>
        <v>0.317319461444308</v>
      </c>
      <c r="E5" s="2" t="n">
        <f aca="false">E4/D4 - 1</f>
        <v>-0.546341463414634</v>
      </c>
      <c r="F5" s="1" t="n">
        <f aca="false">F4/E4 - 1</f>
        <v>0.250640040962622</v>
      </c>
      <c r="G5" s="1" t="n">
        <f aca="false">G4/F4 - 1</f>
        <v>0.245240532241556</v>
      </c>
      <c r="H5" s="1" t="n">
        <f aca="false">H4/G4 - 1</f>
        <v>-0.226697353279632</v>
      </c>
      <c r="I5" s="1" t="n">
        <f aca="false">I4/H4 - 1</f>
        <v>0.107993197278912</v>
      </c>
      <c r="J5" s="1" t="n">
        <f aca="false">J4/I4 - 1</f>
        <v>0.105141980046048</v>
      </c>
    </row>
    <row r="6" customFormat="false" ht="13.8" hidden="false" customHeight="false" outlineLevel="0" collapsed="false">
      <c r="A6" s="0" t="s">
        <v>3</v>
      </c>
      <c r="B6" s="5" t="n">
        <f aca="false">B4/B2</f>
        <v>0.0334366089054617</v>
      </c>
      <c r="C6" s="5" t="n">
        <f aca="false">C4/C2</f>
        <v>0.042024857420255</v>
      </c>
      <c r="D6" s="5" t="n">
        <f aca="false">D4/D2</f>
        <v>0.0430293459139613</v>
      </c>
      <c r="E6" s="5" t="n">
        <f aca="false">E4/E2</f>
        <v>0.0175355897049119</v>
      </c>
      <c r="F6" s="5" t="n">
        <f aca="false">F4/F2</f>
        <v>0.0230944152645339</v>
      </c>
      <c r="G6" s="5" t="n">
        <f aca="false">G4/G2</f>
        <v>0.0279142976454338</v>
      </c>
      <c r="H6" s="5" t="n">
        <f aca="false">H4/H2</f>
        <v>0.0180189842870167</v>
      </c>
      <c r="I6" s="5" t="n">
        <f aca="false">I4/I2</f>
        <v>0.0191218338176162</v>
      </c>
      <c r="J6" s="5" t="n">
        <f aca="false">J4/J2</f>
        <v>0.0186167977814983</v>
      </c>
    </row>
    <row r="7" customFormat="false" ht="15" hidden="false" customHeight="false" outlineLevel="0" collapsed="false">
      <c r="A7" s="0" t="s">
        <v>4</v>
      </c>
      <c r="B7" s="0" t="n">
        <v>4749551</v>
      </c>
      <c r="C7" s="3" t="n">
        <v>5331943</v>
      </c>
      <c r="D7" s="4" t="n">
        <v>5340627</v>
      </c>
      <c r="E7" s="4" t="n">
        <v>5603661</v>
      </c>
      <c r="F7" s="4" t="n">
        <v>6014631</v>
      </c>
      <c r="G7" s="4" t="n">
        <v>6292306</v>
      </c>
      <c r="H7" s="4" t="n">
        <v>7414006</v>
      </c>
      <c r="I7" s="4" t="n">
        <v>7510345</v>
      </c>
      <c r="J7" s="4" t="n">
        <v>7459425</v>
      </c>
    </row>
    <row r="8" customFormat="false" ht="13.8" hidden="false" customHeight="false" outlineLevel="0" collapsed="false">
      <c r="A8" s="0" t="s">
        <v>1</v>
      </c>
      <c r="C8" s="1" t="n">
        <f aca="false">C7/B7 - 1</f>
        <v>0.122620432963032</v>
      </c>
      <c r="D8" s="1" t="n">
        <f aca="false">D7/C7 - 1</f>
        <v>0.0016286745751033</v>
      </c>
      <c r="E8" s="1" t="n">
        <f aca="false">E7/D7 - 1</f>
        <v>0.0492515204675406</v>
      </c>
      <c r="F8" s="1" t="n">
        <f aca="false">F7/E7 - 1</f>
        <v>0.0733395542663984</v>
      </c>
      <c r="G8" s="1" t="n">
        <f aca="false">G7/F7 - 1</f>
        <v>0.0461665894383214</v>
      </c>
      <c r="H8" s="1" t="n">
        <f aca="false">H7/G7 - 1</f>
        <v>0.178265329117815</v>
      </c>
      <c r="I8" s="1" t="n">
        <f aca="false">I7/H7 - 1</f>
        <v>0.0129941896459216</v>
      </c>
      <c r="J8" s="1" t="n">
        <f aca="false">J7/I7 - 1</f>
        <v>-0.00677998147888015</v>
      </c>
    </row>
    <row r="9" customFormat="false" ht="15" hidden="false" customHeight="false" outlineLevel="0" collapsed="false">
      <c r="A9" s="0" t="s">
        <v>5</v>
      </c>
      <c r="B9" s="0" t="n">
        <v>176354</v>
      </c>
      <c r="C9" s="3" t="n">
        <v>187131</v>
      </c>
      <c r="D9" s="4" t="n">
        <v>157961</v>
      </c>
      <c r="E9" s="4" t="n">
        <v>132937</v>
      </c>
      <c r="F9" s="4" t="n">
        <v>143831</v>
      </c>
      <c r="G9" s="4" t="n">
        <v>245708</v>
      </c>
      <c r="H9" s="4" t="n">
        <v>198874</v>
      </c>
      <c r="I9" s="4" t="n">
        <v>239046</v>
      </c>
      <c r="J9" s="4" t="n">
        <v>225097</v>
      </c>
    </row>
    <row r="10" customFormat="false" ht="13.8" hidden="false" customHeight="false" outlineLevel="0" collapsed="false">
      <c r="A10" s="0" t="s">
        <v>1</v>
      </c>
      <c r="C10" s="1" t="n">
        <f aca="false">C9/B9 - 1</f>
        <v>0.0611100400331153</v>
      </c>
      <c r="D10" s="1" t="n">
        <f aca="false">D9/C9 - 1</f>
        <v>-0.155880105380723</v>
      </c>
      <c r="E10" s="1" t="n">
        <f aca="false">E9/D9 - 1</f>
        <v>-0.158418850222523</v>
      </c>
      <c r="F10" s="1" t="n">
        <f aca="false">F9/E9 - 1</f>
        <v>0.0819485921902856</v>
      </c>
      <c r="G10" s="2" t="n">
        <f aca="false">G9/F9 - 1</f>
        <v>0.708310447678178</v>
      </c>
      <c r="H10" s="1" t="n">
        <f aca="false">H9/G9 - 1</f>
        <v>-0.19060836440002</v>
      </c>
      <c r="I10" s="1" t="n">
        <f aca="false">I9/H9 - 1</f>
        <v>0.201997244486459</v>
      </c>
      <c r="J10" s="1" t="n">
        <f aca="false">J9/I9 - 1</f>
        <v>-0.0583527856563172</v>
      </c>
    </row>
    <row r="11" customFormat="false" ht="13.8" hidden="false" customHeight="false" outlineLevel="0" collapsed="false">
      <c r="A11" s="0" t="s">
        <v>6</v>
      </c>
      <c r="B11" s="5" t="n">
        <f aca="false">B9/B7</f>
        <v>0.0371306677199592</v>
      </c>
      <c r="C11" s="5" t="n">
        <f aca="false">C9/C7</f>
        <v>0.0350962116436729</v>
      </c>
      <c r="D11" s="5" t="n">
        <f aca="false">D9/D7</f>
        <v>0.0295772387773945</v>
      </c>
      <c r="E11" s="5" t="n">
        <f aca="false">E9/E7</f>
        <v>0.0237232409312412</v>
      </c>
      <c r="F11" s="5" t="n">
        <f aca="false">F9/F7</f>
        <v>0.0239135202142908</v>
      </c>
      <c r="G11" s="5" t="n">
        <f aca="false">G9/G7</f>
        <v>0.0390489591574218</v>
      </c>
      <c r="H11" s="5" t="n">
        <f aca="false">H9/H7</f>
        <v>0.0268240948280862</v>
      </c>
      <c r="I11" s="5" t="n">
        <f aca="false">I9/I7</f>
        <v>0.0318288973409344</v>
      </c>
      <c r="J11" s="5" t="n">
        <f aca="false">J9/J7</f>
        <v>0.0301761865023108</v>
      </c>
    </row>
    <row r="12" customFormat="false" ht="15" hidden="false" customHeight="false" outlineLevel="0" collapsed="false">
      <c r="A12" s="0" t="s">
        <v>7</v>
      </c>
      <c r="B12" s="0" t="n">
        <v>32777</v>
      </c>
      <c r="C12" s="3" t="n">
        <v>37048</v>
      </c>
      <c r="D12" s="4" t="n">
        <v>44631</v>
      </c>
      <c r="E12" s="4" t="n">
        <v>62944</v>
      </c>
      <c r="F12" s="4" t="n">
        <v>55211</v>
      </c>
      <c r="G12" s="4" t="n">
        <v>52300</v>
      </c>
      <c r="H12" s="4" t="n">
        <v>60635</v>
      </c>
      <c r="I12" s="4" t="n">
        <v>65184</v>
      </c>
      <c r="J12" s="4" t="n">
        <v>67032</v>
      </c>
    </row>
    <row r="13" customFormat="false" ht="13.8" hidden="false" customHeight="false" outlineLevel="0" collapsed="false">
      <c r="A13" s="0" t="s">
        <v>1</v>
      </c>
      <c r="C13" s="1" t="n">
        <f aca="false">C12/B12 - 1</f>
        <v>0.130304786893248</v>
      </c>
      <c r="D13" s="1" t="n">
        <f aca="false">D12/C12 - 1</f>
        <v>0.204680414597279</v>
      </c>
      <c r="E13" s="2" t="n">
        <f aca="false">E12/D12 - 1</f>
        <v>0.410320181040084</v>
      </c>
      <c r="F13" s="1" t="n">
        <f aca="false">F12/E12 - 1</f>
        <v>-0.12285523640061</v>
      </c>
      <c r="G13" s="1" t="n">
        <f aca="false">G12/F12 - 1</f>
        <v>-0.0527250004528084</v>
      </c>
      <c r="H13" s="1" t="n">
        <f aca="false">H12/G12 - 1</f>
        <v>0.159369024856597</v>
      </c>
      <c r="I13" s="1" t="n">
        <f aca="false">I12/H12 - 1</f>
        <v>0.0750226766718891</v>
      </c>
      <c r="J13" s="1" t="n">
        <f aca="false">J12/I12 - 1</f>
        <v>0.0283505154639174</v>
      </c>
    </row>
    <row r="14" customFormat="false" ht="15" hidden="false" customHeight="false" outlineLevel="0" collapsed="false">
      <c r="A14" s="0" t="s">
        <v>8</v>
      </c>
      <c r="B14" s="0" t="n">
        <v>1496</v>
      </c>
      <c r="C14" s="3" t="n">
        <v>1523</v>
      </c>
      <c r="D14" s="4" t="n">
        <v>1956</v>
      </c>
      <c r="E14" s="4" t="n">
        <v>1263</v>
      </c>
      <c r="F14" s="4" t="n">
        <v>1874</v>
      </c>
      <c r="G14" s="4" t="n">
        <v>1738</v>
      </c>
      <c r="H14" s="4" t="n">
        <v>1516</v>
      </c>
      <c r="I14" s="4" t="n">
        <v>1613</v>
      </c>
      <c r="J14" s="4" t="n">
        <v>1697</v>
      </c>
    </row>
    <row r="15" customFormat="false" ht="13.8" hidden="false" customHeight="false" outlineLevel="0" collapsed="false">
      <c r="A15" s="0" t="s">
        <v>1</v>
      </c>
      <c r="C15" s="1" t="n">
        <f aca="false">C14/B14 - 1</f>
        <v>0.018048128342246</v>
      </c>
      <c r="D15" s="1" t="n">
        <f aca="false">D14/C14 - 1</f>
        <v>0.284307288246881</v>
      </c>
      <c r="E15" s="2" t="n">
        <f aca="false">E14/D14 - 1</f>
        <v>-0.354294478527607</v>
      </c>
      <c r="F15" s="1" t="n">
        <f aca="false">F14/E14 - 1</f>
        <v>0.483768804433888</v>
      </c>
      <c r="G15" s="1" t="n">
        <f aca="false">G14/F14 - 1</f>
        <v>-0.072572038420491</v>
      </c>
      <c r="H15" s="1" t="n">
        <f aca="false">H14/G14 - 1</f>
        <v>-0.127733026467204</v>
      </c>
      <c r="I15" s="1" t="n">
        <f aca="false">I14/H14 - 1</f>
        <v>0.0639841688654355</v>
      </c>
      <c r="J15" s="1" t="n">
        <f aca="false">J14/I14 - 1</f>
        <v>0.0520768753874767</v>
      </c>
    </row>
    <row r="16" customFormat="false" ht="13.8" hidden="false" customHeight="false" outlineLevel="0" collapsed="false">
      <c r="A16" s="0" t="s">
        <v>3</v>
      </c>
      <c r="B16" s="5" t="n">
        <f aca="false">B14/B12</f>
        <v>0.0456417609909388</v>
      </c>
      <c r="C16" s="5" t="n">
        <f aca="false">C14/C12</f>
        <v>0.0411088317857914</v>
      </c>
      <c r="D16" s="5" t="n">
        <f aca="false">D14/D12</f>
        <v>0.0438260401962761</v>
      </c>
      <c r="E16" s="5" t="n">
        <f aca="false">E14/E12</f>
        <v>0.0200654550076258</v>
      </c>
      <c r="F16" s="5" t="n">
        <f aca="false">F14/F12</f>
        <v>0.0339425114560504</v>
      </c>
      <c r="G16" s="5" t="n">
        <f aca="false">G14/G12</f>
        <v>0.0332313575525813</v>
      </c>
      <c r="H16" s="5" t="n">
        <f aca="false">H14/H12</f>
        <v>0.0250020615156263</v>
      </c>
      <c r="I16" s="5" t="n">
        <f aca="false">I14/I12</f>
        <v>0.0247453362788414</v>
      </c>
      <c r="J16" s="5" t="n">
        <f aca="false">J14/J12</f>
        <v>0.0253162668576202</v>
      </c>
    </row>
    <row r="17" customFormat="false" ht="15" hidden="false" customHeight="false" outlineLevel="0" collapsed="false">
      <c r="A17" s="0" t="s">
        <v>9</v>
      </c>
      <c r="B17" s="0" t="n">
        <v>537578</v>
      </c>
      <c r="C17" s="3" t="n">
        <v>632236</v>
      </c>
      <c r="D17" s="4" t="n">
        <v>684166</v>
      </c>
      <c r="E17" s="4" t="n">
        <v>734772</v>
      </c>
      <c r="F17" s="4" t="n">
        <v>649202</v>
      </c>
      <c r="G17" s="4" t="n">
        <v>669026</v>
      </c>
      <c r="H17" s="4" t="n">
        <v>772577</v>
      </c>
      <c r="I17" s="4" t="n">
        <v>869097</v>
      </c>
      <c r="J17" s="4" t="n">
        <v>981248</v>
      </c>
    </row>
    <row r="18" customFormat="false" ht="13.8" hidden="false" customHeight="false" outlineLevel="0" collapsed="false">
      <c r="A18" s="0" t="s">
        <v>1</v>
      </c>
      <c r="C18" s="1" t="n">
        <f aca="false">C17/B17 - 1</f>
        <v>0.17608235456064</v>
      </c>
      <c r="D18" s="1" t="n">
        <f aca="false">D17/C17 - 1</f>
        <v>0.0821370500888909</v>
      </c>
      <c r="E18" s="1" t="n">
        <f aca="false">E17/D17 - 1</f>
        <v>0.0739674289572998</v>
      </c>
      <c r="F18" s="1" t="n">
        <f aca="false">F17/E17 - 1</f>
        <v>-0.116457894421671</v>
      </c>
      <c r="G18" s="1" t="n">
        <f aca="false">G17/F17 - 1</f>
        <v>0.0305359502897404</v>
      </c>
      <c r="H18" s="1" t="n">
        <f aca="false">H17/G17 - 1</f>
        <v>0.154778738046055</v>
      </c>
      <c r="I18" s="1" t="n">
        <f aca="false">I17/H17 - 1</f>
        <v>0.12493253099691</v>
      </c>
      <c r="J18" s="1" t="n">
        <f aca="false">J17/I17 - 1</f>
        <v>0.129043133275112</v>
      </c>
    </row>
    <row r="19" customFormat="false" ht="15" hidden="false" customHeight="false" outlineLevel="0" collapsed="false">
      <c r="A19" s="0" t="s">
        <v>10</v>
      </c>
      <c r="B19" s="0" t="n">
        <v>31108</v>
      </c>
      <c r="C19" s="3" t="n">
        <v>28106</v>
      </c>
      <c r="D19" s="4" t="n">
        <v>26681</v>
      </c>
      <c r="E19" s="4" t="n">
        <v>27122</v>
      </c>
      <c r="F19" s="4" t="n">
        <v>23333</v>
      </c>
      <c r="G19" s="4" t="n">
        <v>26361</v>
      </c>
      <c r="H19" s="4" t="n">
        <v>39230</v>
      </c>
      <c r="I19" s="4" t="n">
        <v>43159</v>
      </c>
      <c r="J19" s="4" t="n">
        <v>47180</v>
      </c>
    </row>
    <row r="20" customFormat="false" ht="13.8" hidden="false" customHeight="false" outlineLevel="0" collapsed="false">
      <c r="A20" s="0" t="s">
        <v>1</v>
      </c>
      <c r="C20" s="6" t="n">
        <f aca="false">C19/B19 - 1</f>
        <v>-0.0965025073935965</v>
      </c>
      <c r="D20" s="6" t="n">
        <f aca="false">D19/C19 - 1</f>
        <v>-0.0507009179534619</v>
      </c>
      <c r="E20" s="6" t="n">
        <f aca="false">E19/D19 - 1</f>
        <v>0.0165286158689704</v>
      </c>
      <c r="F20" s="6" t="n">
        <f aca="false">F19/E19 - 1</f>
        <v>-0.13970208686675</v>
      </c>
      <c r="G20" s="6" t="n">
        <f aca="false">G19/F19 - 1</f>
        <v>0.129773282475464</v>
      </c>
      <c r="H20" s="6" t="n">
        <f aca="false">H19/G19 - 1</f>
        <v>0.48818330108873</v>
      </c>
      <c r="I20" s="6" t="n">
        <f aca="false">I19/H19 - 1</f>
        <v>0.100152944175376</v>
      </c>
      <c r="J20" s="6" t="n">
        <f aca="false">J19/I19 - 1</f>
        <v>0.0931671262077434</v>
      </c>
    </row>
    <row r="21" customFormat="false" ht="13.8" hidden="false" customHeight="false" outlineLevel="0" collapsed="false">
      <c r="A21" s="0" t="s">
        <v>6</v>
      </c>
      <c r="B21" s="5" t="n">
        <f aca="false">B19/B17</f>
        <v>0.057866951400541</v>
      </c>
      <c r="C21" s="5" t="n">
        <f aca="false">C19/C17</f>
        <v>0.0444549187328782</v>
      </c>
      <c r="D21" s="5" t="n">
        <f aca="false">D19/D17</f>
        <v>0.0389978455521029</v>
      </c>
      <c r="E21" s="5" t="n">
        <f aca="false">E19/E17</f>
        <v>0.0369121305656721</v>
      </c>
      <c r="F21" s="5" t="n">
        <f aca="false">F19/F17</f>
        <v>0.0359410476246222</v>
      </c>
      <c r="G21" s="5" t="n">
        <f aca="false">G19/G17</f>
        <v>0.0394020561233794</v>
      </c>
      <c r="H21" s="5" t="n">
        <f aca="false">H19/H17</f>
        <v>0.0507781101430666</v>
      </c>
      <c r="I21" s="5" t="n">
        <f aca="false">I19/I17</f>
        <v>0.0496595892058079</v>
      </c>
      <c r="J21" s="5" t="n">
        <f aca="false">J19/J17</f>
        <v>0.0480816266631881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24" activeCellId="0" sqref="D2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59.43"/>
    <col collapsed="false" customWidth="true" hidden="false" outlineLevel="0" max="10" min="2" style="0" width="7.66"/>
  </cols>
  <sheetData>
    <row r="1" s="7" customFormat="true" ht="13.8" hidden="false" customHeight="false" outlineLevel="0" collapsed="false">
      <c r="B1" s="8" t="n">
        <v>2016</v>
      </c>
      <c r="C1" s="8" t="n">
        <v>2017</v>
      </c>
      <c r="D1" s="8" t="n">
        <v>2018</v>
      </c>
      <c r="E1" s="8" t="n">
        <v>2019</v>
      </c>
      <c r="F1" s="8" t="n">
        <v>2020</v>
      </c>
      <c r="G1" s="8" t="n">
        <v>2021</v>
      </c>
      <c r="H1" s="8" t="n">
        <v>2022</v>
      </c>
      <c r="I1" s="8" t="n">
        <v>2023</v>
      </c>
      <c r="J1" s="8" t="n">
        <v>2024</v>
      </c>
    </row>
    <row r="2" customFormat="false" ht="13.8" hidden="false" customHeight="false" outlineLevel="0" collapsed="false">
      <c r="A2" s="0" t="s">
        <v>11</v>
      </c>
      <c r="B2" s="0" t="n">
        <v>2278</v>
      </c>
      <c r="C2" s="0" t="n">
        <v>2194</v>
      </c>
      <c r="D2" s="0" t="n">
        <v>1981</v>
      </c>
      <c r="E2" s="0" t="n">
        <v>2033</v>
      </c>
      <c r="F2" s="0" t="n">
        <v>1931</v>
      </c>
      <c r="G2" s="0" t="n">
        <v>2041</v>
      </c>
      <c r="H2" s="0" t="n">
        <v>2210</v>
      </c>
      <c r="I2" s="0" t="n">
        <v>2374</v>
      </c>
      <c r="J2" s="0" t="n">
        <v>2499</v>
      </c>
    </row>
    <row r="3" customFormat="false" ht="13.8" hidden="false" customHeight="false" outlineLevel="0" collapsed="false">
      <c r="A3" s="0" t="s">
        <v>12</v>
      </c>
      <c r="B3" s="0" t="n">
        <v>2254</v>
      </c>
      <c r="C3" s="0" t="n">
        <v>2052</v>
      </c>
      <c r="D3" s="0" t="n">
        <v>2044</v>
      </c>
      <c r="E3" s="0" t="n">
        <v>1954</v>
      </c>
      <c r="F3" s="0" t="n">
        <v>1842</v>
      </c>
      <c r="G3" s="0" t="n">
        <v>2006</v>
      </c>
      <c r="H3" s="0" t="n">
        <v>2067</v>
      </c>
      <c r="I3" s="0" t="n">
        <v>2072</v>
      </c>
      <c r="J3" s="0" t="n">
        <v>2070</v>
      </c>
    </row>
    <row r="4" customFormat="false" ht="13.8" hidden="false" customHeight="false" outlineLevel="0" collapsed="false">
      <c r="A4" s="0" t="s">
        <v>13</v>
      </c>
      <c r="B4" s="0" t="n">
        <v>1162</v>
      </c>
      <c r="C4" s="0" t="n">
        <v>1129</v>
      </c>
      <c r="D4" s="0" t="n">
        <v>1121</v>
      </c>
      <c r="E4" s="9" t="n">
        <v>662</v>
      </c>
      <c r="F4" s="0" t="n">
        <v>656</v>
      </c>
      <c r="G4" s="0" t="n">
        <v>648</v>
      </c>
      <c r="H4" s="0" t="n">
        <v>660</v>
      </c>
      <c r="I4" s="0" t="n">
        <v>655</v>
      </c>
      <c r="J4" s="0" t="n">
        <v>645</v>
      </c>
    </row>
    <row r="5" customFormat="false" ht="13.8" hidden="false" customHeight="false" outlineLevel="0" collapsed="false">
      <c r="A5" s="0" t="s">
        <v>14</v>
      </c>
      <c r="B5" s="0" t="n">
        <v>98</v>
      </c>
      <c r="C5" s="0" t="n">
        <v>118</v>
      </c>
      <c r="D5" s="0" t="n">
        <v>137</v>
      </c>
      <c r="E5" s="0" t="n">
        <v>128</v>
      </c>
      <c r="F5" s="0" t="n">
        <v>129</v>
      </c>
      <c r="G5" s="0" t="n">
        <v>140</v>
      </c>
      <c r="H5" s="0" t="n">
        <v>170</v>
      </c>
      <c r="I5" s="0" t="n">
        <v>198</v>
      </c>
      <c r="J5" s="0" t="n">
        <v>186</v>
      </c>
    </row>
    <row r="6" customFormat="false" ht="13.8" hidden="false" customHeight="false" outlineLevel="0" collapsed="false">
      <c r="A6" s="0" t="s">
        <v>15</v>
      </c>
      <c r="B6" s="0" t="n">
        <v>660</v>
      </c>
      <c r="C6" s="0" t="n">
        <v>606</v>
      </c>
      <c r="D6" s="0" t="n">
        <v>552</v>
      </c>
      <c r="E6" s="0" t="n">
        <v>600</v>
      </c>
      <c r="F6" s="0" t="n">
        <v>610</v>
      </c>
      <c r="G6" s="0" t="n">
        <v>685</v>
      </c>
      <c r="H6" s="0" t="n">
        <v>776</v>
      </c>
      <c r="I6" s="0" t="n">
        <v>1005</v>
      </c>
      <c r="J6" s="0" t="n">
        <v>1105</v>
      </c>
    </row>
    <row r="7" s="10" customFormat="true" ht="13.8" hidden="false" customHeight="false" outlineLevel="0" collapsed="false">
      <c r="A7" s="10" t="s">
        <v>16</v>
      </c>
      <c r="B7" s="10" t="n">
        <f aca="false">SUM(B2:B6)</f>
        <v>6452</v>
      </c>
      <c r="C7" s="10" t="n">
        <f aca="false">SUM(C2:C6)</f>
        <v>6099</v>
      </c>
      <c r="D7" s="10" t="n">
        <f aca="false">SUM(D2:D6)</f>
        <v>5835</v>
      </c>
      <c r="E7" s="10" t="n">
        <f aca="false">SUM(E2:E6)</f>
        <v>5377</v>
      </c>
      <c r="F7" s="10" t="n">
        <f aca="false">SUM(F2:F6)</f>
        <v>5168</v>
      </c>
      <c r="G7" s="10" t="n">
        <f aca="false">SUM(G2:G6)</f>
        <v>5520</v>
      </c>
      <c r="H7" s="10" t="n">
        <f aca="false">SUM(H2:H6)</f>
        <v>5883</v>
      </c>
      <c r="I7" s="10" t="n">
        <f aca="false">SUM(I2:I6)</f>
        <v>6304</v>
      </c>
      <c r="J7" s="10" t="n">
        <f aca="false">SUM(J2:J6)</f>
        <v>6505</v>
      </c>
    </row>
    <row r="10" customFormat="false" ht="13.8" hidden="false" customHeight="false" outlineLevel="0" collapsed="false">
      <c r="A10" s="0" t="s">
        <v>11</v>
      </c>
      <c r="B10" s="11" t="n">
        <f aca="false">B2/B$7</f>
        <v>0.353068815871048</v>
      </c>
      <c r="C10" s="11" t="n">
        <f aca="false">C2/C$7</f>
        <v>0.359731103459584</v>
      </c>
      <c r="D10" s="11" t="n">
        <f aca="false">D2/D$7</f>
        <v>0.339502999143102</v>
      </c>
      <c r="E10" s="11" t="n">
        <f aca="false">E2/E$7</f>
        <v>0.378091872791519</v>
      </c>
      <c r="F10" s="11" t="n">
        <f aca="false">F2/F$7</f>
        <v>0.373645510835913</v>
      </c>
      <c r="G10" s="11" t="n">
        <f aca="false">G2/G$7</f>
        <v>0.369746376811594</v>
      </c>
      <c r="H10" s="11" t="n">
        <f aca="false">H2/H$7</f>
        <v>0.37565867754547</v>
      </c>
      <c r="I10" s="11" t="n">
        <f aca="false">I2/I$7</f>
        <v>0.376586294416244</v>
      </c>
      <c r="J10" s="11" t="n">
        <f aca="false">J2/J$7</f>
        <v>0.384166026133743</v>
      </c>
    </row>
    <row r="11" customFormat="false" ht="13.8" hidden="false" customHeight="false" outlineLevel="0" collapsed="false">
      <c r="A11" s="0" t="s">
        <v>12</v>
      </c>
      <c r="B11" s="11" t="n">
        <f aca="false">B3/B$7</f>
        <v>0.349349039057657</v>
      </c>
      <c r="C11" s="11" t="n">
        <f aca="false">C3/C$7</f>
        <v>0.336448598130841</v>
      </c>
      <c r="D11" s="11" t="n">
        <f aca="false">D3/D$7</f>
        <v>0.350299914310197</v>
      </c>
      <c r="E11" s="11" t="n">
        <f aca="false">E3/E$7</f>
        <v>0.363399665240841</v>
      </c>
      <c r="F11" s="11" t="n">
        <f aca="false">F3/F$7</f>
        <v>0.356424148606811</v>
      </c>
      <c r="G11" s="11" t="n">
        <f aca="false">G3/G$7</f>
        <v>0.363405797101449</v>
      </c>
      <c r="H11" s="11" t="n">
        <f aca="false">H3/H$7</f>
        <v>0.351351351351351</v>
      </c>
      <c r="I11" s="11" t="n">
        <f aca="false">I3/I$7</f>
        <v>0.328680203045685</v>
      </c>
      <c r="J11" s="11" t="n">
        <f aca="false">J3/J$7</f>
        <v>0.318216756341276</v>
      </c>
    </row>
    <row r="12" customFormat="false" ht="13.8" hidden="false" customHeight="false" outlineLevel="0" collapsed="false">
      <c r="A12" s="0" t="s">
        <v>13</v>
      </c>
      <c r="B12" s="11" t="n">
        <f aca="false">B4/B$7</f>
        <v>0.180099194048357</v>
      </c>
      <c r="C12" s="11" t="n">
        <f aca="false">C4/C$7</f>
        <v>0.185112313494015</v>
      </c>
      <c r="D12" s="11" t="n">
        <f aca="false">D4/D$7</f>
        <v>0.192116538131962</v>
      </c>
      <c r="E12" s="11" t="n">
        <f aca="false">E4/E$7</f>
        <v>0.123116979728473</v>
      </c>
      <c r="F12" s="11" t="n">
        <f aca="false">F4/F$7</f>
        <v>0.126934984520124</v>
      </c>
      <c r="G12" s="11" t="n">
        <f aca="false">G4/G$7</f>
        <v>0.117391304347826</v>
      </c>
      <c r="H12" s="11" t="n">
        <f aca="false">H4/H$7</f>
        <v>0.112187659357471</v>
      </c>
      <c r="I12" s="11" t="n">
        <f aca="false">I4/I$7</f>
        <v>0.103902284263959</v>
      </c>
      <c r="J12" s="11" t="n">
        <f aca="false">J4/J$7</f>
        <v>0.0991544965411222</v>
      </c>
    </row>
    <row r="13" customFormat="false" ht="13.8" hidden="false" customHeight="false" outlineLevel="0" collapsed="false">
      <c r="A13" s="0" t="s">
        <v>14</v>
      </c>
      <c r="B13" s="11" t="n">
        <f aca="false">B5/B$7</f>
        <v>0.0151890886546807</v>
      </c>
      <c r="C13" s="11" t="n">
        <f aca="false">C5/C$7</f>
        <v>0.0193474340055747</v>
      </c>
      <c r="D13" s="11" t="n">
        <f aca="false">D5/D$7</f>
        <v>0.0234790059982862</v>
      </c>
      <c r="E13" s="11" t="n">
        <f aca="false">E5/E$7</f>
        <v>0.023805095778315</v>
      </c>
      <c r="F13" s="11" t="n">
        <f aca="false">F5/F$7</f>
        <v>0.0249613003095975</v>
      </c>
      <c r="G13" s="11" t="n">
        <f aca="false">G5/G$7</f>
        <v>0.0253623188405797</v>
      </c>
      <c r="H13" s="11" t="n">
        <f aca="false">H5/H$7</f>
        <v>0.0288968213496515</v>
      </c>
      <c r="I13" s="11" t="n">
        <f aca="false">I5/I$7</f>
        <v>0.0314086294416244</v>
      </c>
      <c r="J13" s="11" t="n">
        <f aca="false">J5/J$7</f>
        <v>0.0285933897002306</v>
      </c>
    </row>
    <row r="14" customFormat="false" ht="13.8" hidden="false" customHeight="false" outlineLevel="0" collapsed="false">
      <c r="A14" s="0" t="s">
        <v>15</v>
      </c>
      <c r="B14" s="11" t="n">
        <f aca="false">B6/B$7</f>
        <v>0.102293862368258</v>
      </c>
      <c r="C14" s="11" t="n">
        <f aca="false">C6/C$7</f>
        <v>0.0993605509099853</v>
      </c>
      <c r="D14" s="11" t="n">
        <f aca="false">D6/D$7</f>
        <v>0.0946015424164524</v>
      </c>
      <c r="E14" s="11" t="n">
        <f aca="false">E6/E$7</f>
        <v>0.111586386460852</v>
      </c>
      <c r="F14" s="11" t="n">
        <f aca="false">F6/F$7</f>
        <v>0.118034055727554</v>
      </c>
      <c r="G14" s="11" t="n">
        <f aca="false">G6/G$7</f>
        <v>0.124094202898551</v>
      </c>
      <c r="H14" s="11" t="n">
        <f aca="false">H6/H$7</f>
        <v>0.131905490396056</v>
      </c>
      <c r="I14" s="11" t="n">
        <f aca="false">I6/I$7</f>
        <v>0.159422588832487</v>
      </c>
      <c r="J14" s="11" t="n">
        <f aca="false">J6/J$7</f>
        <v>0.169869331283628</v>
      </c>
    </row>
    <row r="15" customFormat="false" ht="13.8" hidden="false" customHeight="false" outlineLevel="0" collapsed="false">
      <c r="A15" s="10" t="s">
        <v>16</v>
      </c>
      <c r="B15" s="0" t="n">
        <f aca="false">SUM(B10:B14)</f>
        <v>1</v>
      </c>
      <c r="C15" s="0" t="n">
        <f aca="false">SUM(C10:C14)</f>
        <v>1</v>
      </c>
      <c r="D15" s="0" t="n">
        <f aca="false">SUM(D10:D14)</f>
        <v>1</v>
      </c>
      <c r="E15" s="0" t="n">
        <f aca="false">SUM(E10:E14)</f>
        <v>1</v>
      </c>
      <c r="F15" s="0" t="n">
        <f aca="false">SUM(F10:F14)</f>
        <v>1</v>
      </c>
      <c r="G15" s="0" t="n">
        <f aca="false">SUM(G10:G14)</f>
        <v>1</v>
      </c>
      <c r="H15" s="0" t="n">
        <f aca="false">SUM(H10:H14)</f>
        <v>1</v>
      </c>
      <c r="I15" s="0" t="n">
        <f aca="false">SUM(I10:I14)</f>
        <v>1</v>
      </c>
      <c r="J15" s="0" t="n">
        <f aca="false">SUM(J10:J14)</f>
        <v>1</v>
      </c>
    </row>
    <row r="17" customFormat="false" ht="13.8" hidden="false" customHeight="false" outlineLevel="0" collapsed="false">
      <c r="A17" s="0" t="s">
        <v>11</v>
      </c>
      <c r="C17" s="11" t="n">
        <f aca="false">C2/B2 - 1</f>
        <v>-0.0368744512730466</v>
      </c>
      <c r="D17" s="11" t="n">
        <f aca="false">D2/C2 - 1</f>
        <v>-0.0970829535095715</v>
      </c>
      <c r="E17" s="11" t="n">
        <f aca="false">E2/D2 - 1</f>
        <v>0.0262493690055527</v>
      </c>
      <c r="F17" s="11" t="n">
        <f aca="false">F2/E2 - 1</f>
        <v>-0.0501721593703886</v>
      </c>
      <c r="G17" s="11" t="n">
        <f aca="false">G2/F2 - 1</f>
        <v>0.0569653029518384</v>
      </c>
      <c r="H17" s="11" t="n">
        <f aca="false">H2/G2 - 1</f>
        <v>0.0828025477707006</v>
      </c>
      <c r="I17" s="11" t="n">
        <f aca="false">I2/H2 - 1</f>
        <v>0.0742081447963801</v>
      </c>
      <c r="J17" s="11" t="n">
        <f aca="false">J2/I2 - 1</f>
        <v>0.052653748946925</v>
      </c>
    </row>
    <row r="18" customFormat="false" ht="13.8" hidden="false" customHeight="false" outlineLevel="0" collapsed="false">
      <c r="A18" s="0" t="s">
        <v>12</v>
      </c>
      <c r="C18" s="11" t="n">
        <f aca="false">C3/B3 - 1</f>
        <v>-0.0896184560780834</v>
      </c>
      <c r="D18" s="11" t="n">
        <f aca="false">D3/C3 - 1</f>
        <v>-0.00389863547758285</v>
      </c>
      <c r="E18" s="11" t="n">
        <f aca="false">E3/D3 - 1</f>
        <v>-0.0440313111545988</v>
      </c>
      <c r="F18" s="11" t="n">
        <f aca="false">F3/E3 - 1</f>
        <v>-0.0573183213920164</v>
      </c>
      <c r="G18" s="11" t="n">
        <f aca="false">G3/F3 - 1</f>
        <v>0.0890336590662324</v>
      </c>
      <c r="H18" s="11" t="n">
        <f aca="false">H3/G3 - 1</f>
        <v>0.0304087736789631</v>
      </c>
      <c r="I18" s="11" t="n">
        <f aca="false">I3/H3 - 1</f>
        <v>0.00241896468311564</v>
      </c>
      <c r="J18" s="11" t="n">
        <f aca="false">J3/I3 - 1</f>
        <v>-0.000965250965251019</v>
      </c>
    </row>
    <row r="19" customFormat="false" ht="13.8" hidden="false" customHeight="false" outlineLevel="0" collapsed="false">
      <c r="A19" s="0" t="s">
        <v>13</v>
      </c>
      <c r="C19" s="11" t="n">
        <f aca="false">C4/B4 - 1</f>
        <v>-0.0283993115318416</v>
      </c>
      <c r="D19" s="11" t="n">
        <f aca="false">D4/C4 - 1</f>
        <v>-0.00708591674047832</v>
      </c>
      <c r="E19" s="12" t="n">
        <f aca="false">E4/D4 - 1</f>
        <v>-0.409455842997324</v>
      </c>
      <c r="F19" s="11" t="n">
        <f aca="false">F4/E4 - 1</f>
        <v>-0.00906344410876137</v>
      </c>
      <c r="G19" s="11" t="n">
        <f aca="false">G4/F4 - 1</f>
        <v>-0.0121951219512195</v>
      </c>
      <c r="H19" s="11" t="n">
        <f aca="false">H4/G4 - 1</f>
        <v>0.0185185185185186</v>
      </c>
      <c r="I19" s="11" t="n">
        <f aca="false">I4/H4 - 1</f>
        <v>-0.00757575757575757</v>
      </c>
      <c r="J19" s="11" t="n">
        <f aca="false">J4/I4 - 1</f>
        <v>-0.0152671755725191</v>
      </c>
    </row>
    <row r="20" customFormat="false" ht="13.8" hidden="false" customHeight="false" outlineLevel="0" collapsed="false">
      <c r="A20" s="0" t="s">
        <v>14</v>
      </c>
      <c r="C20" s="12" t="n">
        <f aca="false">C5/B5 - 1</f>
        <v>0.204081632653061</v>
      </c>
      <c r="D20" s="11" t="n">
        <f aca="false">D5/C5 - 1</f>
        <v>0.161016949152542</v>
      </c>
      <c r="E20" s="11" t="n">
        <f aca="false">E5/D5 - 1</f>
        <v>-0.0656934306569343</v>
      </c>
      <c r="F20" s="11" t="n">
        <f aca="false">F5/E5 - 1</f>
        <v>0.0078125</v>
      </c>
      <c r="G20" s="11" t="n">
        <f aca="false">G5/F5 - 1</f>
        <v>0.0852713178294573</v>
      </c>
      <c r="H20" s="12" t="n">
        <f aca="false">H5/G5 - 1</f>
        <v>0.214285714285714</v>
      </c>
      <c r="I20" s="11" t="n">
        <f aca="false">I5/H5 - 1</f>
        <v>0.164705882352941</v>
      </c>
      <c r="J20" s="11" t="n">
        <f aca="false">J5/I5 - 1</f>
        <v>-0.0606060606060606</v>
      </c>
    </row>
    <row r="21" customFormat="false" ht="13.8" hidden="false" customHeight="false" outlineLevel="0" collapsed="false">
      <c r="A21" s="0" t="s">
        <v>15</v>
      </c>
      <c r="C21" s="11" t="n">
        <f aca="false">C6/B6 - 1</f>
        <v>-0.0818181818181818</v>
      </c>
      <c r="D21" s="11" t="n">
        <f aca="false">D6/C6 - 1</f>
        <v>-0.0891089108910891</v>
      </c>
      <c r="E21" s="11" t="n">
        <f aca="false">E6/D6 - 1</f>
        <v>0.0869565217391304</v>
      </c>
      <c r="F21" s="11" t="n">
        <f aca="false">F6/E6 - 1</f>
        <v>0.0166666666666666</v>
      </c>
      <c r="G21" s="11" t="n">
        <f aca="false">G6/F6 - 1</f>
        <v>0.122950819672131</v>
      </c>
      <c r="H21" s="11" t="n">
        <f aca="false">H6/G6 - 1</f>
        <v>0.132846715328467</v>
      </c>
      <c r="I21" s="12" t="n">
        <f aca="false">I6/H6 - 1</f>
        <v>0.295103092783505</v>
      </c>
      <c r="J21" s="11" t="n">
        <f aca="false">J6/I6 - 1</f>
        <v>0.0995024875621891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59" activeCellId="0" sqref="D5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8.56"/>
  </cols>
  <sheetData>
    <row r="1" customFormat="false" ht="13.8" hidden="false" customHeight="false" outlineLevel="0" collapsed="false">
      <c r="B1" s="7" t="n">
        <v>2016</v>
      </c>
      <c r="C1" s="7" t="n">
        <v>2017</v>
      </c>
      <c r="D1" s="7" t="n">
        <v>2018</v>
      </c>
      <c r="E1" s="7" t="n">
        <v>2019</v>
      </c>
      <c r="F1" s="7" t="n">
        <v>2020</v>
      </c>
      <c r="G1" s="7" t="n">
        <v>2021</v>
      </c>
      <c r="H1" s="7" t="n">
        <v>2022</v>
      </c>
      <c r="I1" s="7" t="n">
        <v>2023</v>
      </c>
      <c r="J1" s="7" t="n">
        <v>2024</v>
      </c>
    </row>
    <row r="2" customFormat="false" ht="12.8" hidden="false" customHeight="false" outlineLevel="0" collapsed="false">
      <c r="A2" s="0" t="s">
        <v>17</v>
      </c>
      <c r="B2" s="0" t="n">
        <v>1559</v>
      </c>
      <c r="C2" s="0" t="n">
        <v>1283</v>
      </c>
      <c r="D2" s="0" t="n">
        <v>250</v>
      </c>
      <c r="E2" s="0" t="n">
        <v>269</v>
      </c>
      <c r="F2" s="0" t="n">
        <v>238</v>
      </c>
      <c r="G2" s="0" t="n">
        <v>289</v>
      </c>
      <c r="H2" s="0" t="n">
        <v>303</v>
      </c>
      <c r="I2" s="0" t="n">
        <v>304</v>
      </c>
      <c r="J2" s="0" t="n">
        <v>264</v>
      </c>
    </row>
    <row r="3" customFormat="false" ht="12.8" hidden="false" customHeight="false" outlineLevel="0" collapsed="false">
      <c r="A3" s="0" t="s">
        <v>18</v>
      </c>
      <c r="B3" s="0" t="n">
        <v>7176</v>
      </c>
      <c r="C3" s="0" t="n">
        <v>6240</v>
      </c>
      <c r="D3" s="0" t="n">
        <v>2258</v>
      </c>
      <c r="E3" s="0" t="n">
        <v>2174</v>
      </c>
      <c r="F3" s="0" t="n">
        <v>2215</v>
      </c>
      <c r="G3" s="0" t="n">
        <v>2541</v>
      </c>
      <c r="H3" s="0" t="n">
        <v>2351</v>
      </c>
      <c r="I3" s="0" t="n">
        <v>2454</v>
      </c>
      <c r="J3" s="0" t="n">
        <v>2492</v>
      </c>
    </row>
    <row r="4" customFormat="false" ht="12.8" hidden="false" customHeight="false" outlineLevel="0" collapsed="false">
      <c r="A4" s="0" t="s">
        <v>19</v>
      </c>
      <c r="B4" s="0" t="n">
        <v>2356</v>
      </c>
      <c r="C4" s="0" t="n">
        <v>2343</v>
      </c>
      <c r="D4" s="0" t="n">
        <v>232</v>
      </c>
      <c r="E4" s="0" t="n">
        <v>247</v>
      </c>
      <c r="F4" s="0" t="n">
        <v>271</v>
      </c>
      <c r="G4" s="0" t="n">
        <v>225</v>
      </c>
      <c r="H4" s="0" t="n">
        <v>247</v>
      </c>
      <c r="I4" s="0" t="n">
        <v>219</v>
      </c>
      <c r="J4" s="0" t="n">
        <v>337</v>
      </c>
    </row>
    <row r="5" customFormat="false" ht="12.8" hidden="false" customHeight="false" outlineLevel="0" collapsed="false">
      <c r="A5" s="0" t="s">
        <v>20</v>
      </c>
      <c r="B5" s="0" t="n">
        <v>299</v>
      </c>
      <c r="C5" s="0" t="n">
        <v>223</v>
      </c>
      <c r="D5" s="0" t="n">
        <v>52</v>
      </c>
      <c r="E5" s="0" t="n">
        <v>46</v>
      </c>
      <c r="F5" s="0" t="n">
        <v>54</v>
      </c>
      <c r="G5" s="0" t="n">
        <v>57</v>
      </c>
      <c r="H5" s="0" t="n">
        <v>71</v>
      </c>
      <c r="I5" s="0" t="n">
        <v>69</v>
      </c>
      <c r="J5" s="0" t="n">
        <v>45</v>
      </c>
    </row>
    <row r="6" customFormat="false" ht="12.8" hidden="false" customHeight="false" outlineLevel="0" collapsed="false">
      <c r="A6" s="0" t="s">
        <v>21</v>
      </c>
      <c r="B6" s="0" t="n">
        <v>20</v>
      </c>
      <c r="C6" s="0" t="n">
        <v>16</v>
      </c>
      <c r="D6" s="0" t="n">
        <v>2</v>
      </c>
      <c r="E6" s="0" t="n">
        <v>2</v>
      </c>
      <c r="F6" s="0" t="n">
        <v>2</v>
      </c>
      <c r="G6" s="0" t="n">
        <v>1</v>
      </c>
      <c r="H6" s="0" t="n">
        <v>3</v>
      </c>
      <c r="I6" s="0" t="n">
        <v>1</v>
      </c>
    </row>
    <row r="7" customFormat="false" ht="12.8" hidden="false" customHeight="false" outlineLevel="0" collapsed="false">
      <c r="A7" s="0" t="s">
        <v>22</v>
      </c>
      <c r="B7" s="0" t="n">
        <v>216</v>
      </c>
      <c r="C7" s="0" t="n">
        <v>224</v>
      </c>
      <c r="D7" s="0" t="n">
        <v>94</v>
      </c>
      <c r="E7" s="0" t="n">
        <v>85</v>
      </c>
      <c r="F7" s="0" t="n">
        <v>86</v>
      </c>
      <c r="G7" s="0" t="n">
        <v>85</v>
      </c>
      <c r="H7" s="0" t="n">
        <v>86</v>
      </c>
      <c r="I7" s="0" t="n">
        <v>81</v>
      </c>
      <c r="J7" s="0" t="n">
        <v>72</v>
      </c>
    </row>
    <row r="8" customFormat="false" ht="12.8" hidden="false" customHeight="false" outlineLevel="0" collapsed="false">
      <c r="A8" s="0" t="s">
        <v>23</v>
      </c>
      <c r="B8" s="0" t="n">
        <v>8376</v>
      </c>
      <c r="C8" s="0" t="n">
        <v>10475</v>
      </c>
      <c r="D8" s="0" t="n">
        <v>1571</v>
      </c>
      <c r="E8" s="0" t="n">
        <v>1670</v>
      </c>
      <c r="F8" s="0" t="n">
        <v>1625</v>
      </c>
      <c r="G8" s="0" t="n">
        <v>1357</v>
      </c>
      <c r="H8" s="0" t="n">
        <v>1108</v>
      </c>
      <c r="I8" s="0" t="n">
        <v>1574</v>
      </c>
      <c r="J8" s="0" t="n">
        <v>1659</v>
      </c>
    </row>
    <row r="9" customFormat="false" ht="12.8" hidden="false" customHeight="false" outlineLevel="0" collapsed="false">
      <c r="A9" s="0" t="s">
        <v>24</v>
      </c>
      <c r="B9" s="0" t="n">
        <v>2374</v>
      </c>
      <c r="C9" s="0" t="n">
        <v>2123</v>
      </c>
      <c r="D9" s="0" t="n">
        <v>178</v>
      </c>
      <c r="E9" s="0" t="n">
        <v>304</v>
      </c>
      <c r="F9" s="0" t="n">
        <v>222</v>
      </c>
      <c r="G9" s="0" t="n">
        <v>281</v>
      </c>
      <c r="H9" s="0" t="n">
        <v>316</v>
      </c>
      <c r="I9" s="0" t="n">
        <v>305</v>
      </c>
      <c r="J9" s="0" t="n">
        <v>405</v>
      </c>
    </row>
    <row r="10" customFormat="false" ht="12.8" hidden="false" customHeight="false" outlineLevel="0" collapsed="false">
      <c r="A10" s="0" t="s">
        <v>25</v>
      </c>
      <c r="B10" s="0" t="n">
        <v>472</v>
      </c>
      <c r="C10" s="0" t="n">
        <v>337</v>
      </c>
      <c r="D10" s="0" t="n">
        <v>29</v>
      </c>
      <c r="E10" s="0" t="n">
        <v>28</v>
      </c>
      <c r="F10" s="0" t="n">
        <v>75</v>
      </c>
      <c r="G10" s="0" t="n">
        <v>28</v>
      </c>
      <c r="H10" s="0" t="n">
        <v>36</v>
      </c>
      <c r="I10" s="0" t="n">
        <v>22</v>
      </c>
      <c r="J10" s="0" t="n">
        <v>23</v>
      </c>
    </row>
    <row r="11" customFormat="false" ht="12.8" hidden="false" customHeight="false" outlineLevel="0" collapsed="false">
      <c r="A11" s="0" t="s">
        <v>26</v>
      </c>
      <c r="B11" s="0" t="n">
        <v>68</v>
      </c>
      <c r="C11" s="0" t="n">
        <v>42</v>
      </c>
      <c r="D11" s="0" t="n">
        <v>1</v>
      </c>
      <c r="E11" s="0" t="n">
        <v>3</v>
      </c>
      <c r="F11" s="0" t="n">
        <v>2</v>
      </c>
      <c r="H11" s="0" t="n">
        <v>2</v>
      </c>
    </row>
    <row r="12" customFormat="false" ht="12.8" hidden="false" customHeight="false" outlineLevel="0" collapsed="false">
      <c r="A12" s="0" t="s">
        <v>27</v>
      </c>
      <c r="B12" s="0" t="n">
        <v>602</v>
      </c>
      <c r="C12" s="0" t="n">
        <v>329</v>
      </c>
      <c r="D12" s="0" t="n">
        <v>14</v>
      </c>
      <c r="E12" s="0" t="n">
        <v>17</v>
      </c>
      <c r="F12" s="0" t="n">
        <v>17</v>
      </c>
      <c r="G12" s="0" t="n">
        <v>21</v>
      </c>
      <c r="H12" s="0" t="n">
        <v>23</v>
      </c>
      <c r="I12" s="0" t="n">
        <v>10</v>
      </c>
      <c r="J12" s="0" t="n">
        <v>14</v>
      </c>
    </row>
    <row r="13" customFormat="false" ht="12.8" hidden="false" customHeight="false" outlineLevel="0" collapsed="false">
      <c r="A13" s="0" t="s">
        <v>28</v>
      </c>
      <c r="B13" s="0" t="n">
        <v>948</v>
      </c>
      <c r="C13" s="0" t="n">
        <v>266</v>
      </c>
      <c r="D13" s="0" t="n">
        <v>48</v>
      </c>
    </row>
    <row r="14" customFormat="false" ht="12.8" hidden="false" customHeight="false" outlineLevel="0" collapsed="false">
      <c r="A14" s="0" t="s">
        <v>29</v>
      </c>
      <c r="B14" s="0" t="n">
        <v>1530</v>
      </c>
      <c r="C14" s="0" t="n">
        <v>1648</v>
      </c>
      <c r="D14" s="0" t="n">
        <v>798</v>
      </c>
      <c r="E14" s="0" t="n">
        <v>739</v>
      </c>
      <c r="F14" s="0" t="n">
        <v>713</v>
      </c>
      <c r="G14" s="0" t="n">
        <v>817</v>
      </c>
      <c r="H14" s="0" t="n">
        <v>857</v>
      </c>
      <c r="I14" s="0" t="n">
        <v>1030</v>
      </c>
      <c r="J14" s="0" t="n">
        <v>887</v>
      </c>
    </row>
    <row r="16" customFormat="false" ht="13.8" hidden="false" customHeight="false" outlineLevel="0" collapsed="false">
      <c r="B16" s="7" t="n">
        <v>2016</v>
      </c>
      <c r="C16" s="7" t="n">
        <v>2017</v>
      </c>
      <c r="D16" s="7" t="n">
        <v>2018</v>
      </c>
      <c r="E16" s="7" t="n">
        <v>2019</v>
      </c>
      <c r="F16" s="7" t="n">
        <v>2020</v>
      </c>
      <c r="G16" s="7" t="n">
        <v>2021</v>
      </c>
      <c r="H16" s="7" t="n">
        <v>2022</v>
      </c>
      <c r="I16" s="7" t="n">
        <v>2023</v>
      </c>
      <c r="J16" s="7" t="n">
        <v>2024</v>
      </c>
    </row>
    <row r="17" customFormat="false" ht="13.8" hidden="false" customHeight="false" outlineLevel="0" collapsed="false">
      <c r="A17" s="0" t="s">
        <v>17</v>
      </c>
      <c r="B17" s="0" t="n">
        <v>1559</v>
      </c>
      <c r="C17" s="0" t="n">
        <v>1283</v>
      </c>
      <c r="D17" s="0" t="n">
        <v>250</v>
      </c>
      <c r="E17" s="0" t="n">
        <v>269</v>
      </c>
      <c r="F17" s="0" t="n">
        <v>238</v>
      </c>
      <c r="G17" s="0" t="n">
        <v>289</v>
      </c>
      <c r="H17" s="0" t="n">
        <v>303</v>
      </c>
      <c r="I17" s="0" t="n">
        <v>304</v>
      </c>
      <c r="J17" s="0" t="n">
        <v>264</v>
      </c>
    </row>
    <row r="18" customFormat="false" ht="13.8" hidden="false" customHeight="false" outlineLevel="0" collapsed="false">
      <c r="A18" s="0" t="s">
        <v>18</v>
      </c>
      <c r="B18" s="0" t="n">
        <v>7176</v>
      </c>
      <c r="C18" s="0" t="n">
        <v>6240</v>
      </c>
      <c r="D18" s="0" t="n">
        <v>2258</v>
      </c>
      <c r="E18" s="0" t="n">
        <v>2174</v>
      </c>
      <c r="F18" s="0" t="n">
        <v>2215</v>
      </c>
      <c r="G18" s="0" t="n">
        <v>2541</v>
      </c>
      <c r="H18" s="0" t="n">
        <v>2351</v>
      </c>
      <c r="I18" s="0" t="n">
        <v>2454</v>
      </c>
      <c r="J18" s="0" t="n">
        <v>2492</v>
      </c>
    </row>
    <row r="19" customFormat="false" ht="13.8" hidden="false" customHeight="false" outlineLevel="0" collapsed="false">
      <c r="A19" s="0" t="s">
        <v>19</v>
      </c>
      <c r="B19" s="0" t="n">
        <v>2356</v>
      </c>
      <c r="C19" s="0" t="n">
        <v>2343</v>
      </c>
      <c r="D19" s="0" t="n">
        <v>232</v>
      </c>
      <c r="E19" s="0" t="n">
        <v>247</v>
      </c>
      <c r="F19" s="0" t="n">
        <v>271</v>
      </c>
      <c r="G19" s="0" t="n">
        <v>225</v>
      </c>
      <c r="H19" s="0" t="n">
        <v>247</v>
      </c>
      <c r="I19" s="0" t="n">
        <v>219</v>
      </c>
      <c r="J19" s="0" t="n">
        <v>337</v>
      </c>
    </row>
    <row r="20" customFormat="false" ht="13.8" hidden="false" customHeight="false" outlineLevel="0" collapsed="false">
      <c r="A20" s="0" t="s">
        <v>20</v>
      </c>
      <c r="B20" s="0" t="n">
        <v>299</v>
      </c>
      <c r="C20" s="0" t="n">
        <v>223</v>
      </c>
      <c r="D20" s="0" t="n">
        <v>52</v>
      </c>
      <c r="E20" s="0" t="n">
        <v>46</v>
      </c>
      <c r="F20" s="0" t="n">
        <v>54</v>
      </c>
      <c r="G20" s="0" t="n">
        <v>57</v>
      </c>
      <c r="H20" s="0" t="n">
        <v>71</v>
      </c>
      <c r="I20" s="0" t="n">
        <v>69</v>
      </c>
      <c r="J20" s="0" t="n">
        <v>45</v>
      </c>
    </row>
    <row r="21" customFormat="false" ht="13.8" hidden="false" customHeight="false" outlineLevel="0" collapsed="false">
      <c r="A21" s="0" t="s">
        <v>21</v>
      </c>
      <c r="B21" s="0" t="n">
        <v>20</v>
      </c>
      <c r="C21" s="0" t="n">
        <v>16</v>
      </c>
      <c r="D21" s="0" t="n">
        <v>2</v>
      </c>
      <c r="E21" s="0" t="n">
        <v>2</v>
      </c>
      <c r="F21" s="0" t="n">
        <v>2</v>
      </c>
      <c r="G21" s="0" t="n">
        <v>1</v>
      </c>
      <c r="H21" s="0" t="n">
        <v>3</v>
      </c>
      <c r="I21" s="0" t="n">
        <v>1</v>
      </c>
      <c r="J21" s="0" t="n">
        <v>0</v>
      </c>
    </row>
    <row r="22" customFormat="false" ht="13.8" hidden="false" customHeight="false" outlineLevel="0" collapsed="false">
      <c r="A22" s="0" t="s">
        <v>22</v>
      </c>
      <c r="B22" s="0" t="n">
        <v>216</v>
      </c>
      <c r="C22" s="0" t="n">
        <v>224</v>
      </c>
      <c r="D22" s="0" t="n">
        <v>94</v>
      </c>
      <c r="E22" s="0" t="n">
        <v>85</v>
      </c>
      <c r="F22" s="0" t="n">
        <v>86</v>
      </c>
      <c r="G22" s="0" t="n">
        <v>85</v>
      </c>
      <c r="H22" s="0" t="n">
        <v>86</v>
      </c>
      <c r="I22" s="0" t="n">
        <v>81</v>
      </c>
      <c r="J22" s="0" t="n">
        <v>72</v>
      </c>
    </row>
    <row r="23" customFormat="false" ht="13.8" hidden="false" customHeight="false" outlineLevel="0" collapsed="false">
      <c r="A23" s="0" t="s">
        <v>23</v>
      </c>
      <c r="B23" s="0" t="n">
        <v>8376</v>
      </c>
      <c r="C23" s="0" t="n">
        <v>10475</v>
      </c>
      <c r="D23" s="0" t="n">
        <v>1571</v>
      </c>
      <c r="E23" s="0" t="n">
        <v>1670</v>
      </c>
      <c r="F23" s="0" t="n">
        <v>1625</v>
      </c>
      <c r="G23" s="0" t="n">
        <v>1357</v>
      </c>
      <c r="H23" s="0" t="n">
        <v>1108</v>
      </c>
      <c r="I23" s="0" t="n">
        <v>1574</v>
      </c>
      <c r="J23" s="0" t="n">
        <v>1659</v>
      </c>
    </row>
    <row r="24" customFormat="false" ht="13.8" hidden="false" customHeight="false" outlineLevel="0" collapsed="false">
      <c r="A24" s="0" t="s">
        <v>24</v>
      </c>
      <c r="B24" s="0" t="n">
        <v>2374</v>
      </c>
      <c r="C24" s="0" t="n">
        <v>2123</v>
      </c>
      <c r="D24" s="0" t="n">
        <v>178</v>
      </c>
      <c r="E24" s="0" t="n">
        <v>304</v>
      </c>
      <c r="F24" s="0" t="n">
        <v>222</v>
      </c>
      <c r="G24" s="0" t="n">
        <v>281</v>
      </c>
      <c r="H24" s="0" t="n">
        <v>316</v>
      </c>
      <c r="I24" s="0" t="n">
        <v>305</v>
      </c>
      <c r="J24" s="0" t="n">
        <v>405</v>
      </c>
    </row>
    <row r="25" customFormat="false" ht="13.8" hidden="false" customHeight="false" outlineLevel="0" collapsed="false">
      <c r="A25" s="0" t="s">
        <v>25</v>
      </c>
      <c r="B25" s="0" t="n">
        <v>472</v>
      </c>
      <c r="C25" s="0" t="n">
        <v>337</v>
      </c>
      <c r="D25" s="0" t="n">
        <v>29</v>
      </c>
      <c r="E25" s="0" t="n">
        <v>28</v>
      </c>
      <c r="F25" s="0" t="n">
        <v>75</v>
      </c>
      <c r="G25" s="0" t="n">
        <v>28</v>
      </c>
      <c r="H25" s="0" t="n">
        <v>36</v>
      </c>
      <c r="I25" s="0" t="n">
        <v>22</v>
      </c>
      <c r="J25" s="0" t="n">
        <v>23</v>
      </c>
    </row>
    <row r="26" customFormat="false" ht="13.8" hidden="false" customHeight="false" outlineLevel="0" collapsed="false">
      <c r="A26" s="0" t="s">
        <v>26</v>
      </c>
      <c r="B26" s="0" t="n">
        <v>68</v>
      </c>
      <c r="C26" s="0" t="n">
        <v>42</v>
      </c>
      <c r="D26" s="0" t="n">
        <v>1</v>
      </c>
      <c r="E26" s="0" t="n">
        <v>3</v>
      </c>
      <c r="F26" s="0" t="n">
        <v>2</v>
      </c>
      <c r="G26" s="0" t="n">
        <v>0</v>
      </c>
      <c r="H26" s="0" t="n">
        <v>2</v>
      </c>
      <c r="I26" s="0" t="n">
        <v>0</v>
      </c>
      <c r="J26" s="0" t="n">
        <v>0</v>
      </c>
    </row>
    <row r="27" customFormat="false" ht="13.8" hidden="false" customHeight="false" outlineLevel="0" collapsed="false">
      <c r="A27" s="0" t="s">
        <v>27</v>
      </c>
      <c r="B27" s="0" t="n">
        <v>602</v>
      </c>
      <c r="C27" s="0" t="n">
        <v>329</v>
      </c>
      <c r="D27" s="0" t="n">
        <v>14</v>
      </c>
      <c r="E27" s="0" t="n">
        <v>17</v>
      </c>
      <c r="F27" s="0" t="n">
        <v>17</v>
      </c>
      <c r="G27" s="0" t="n">
        <v>21</v>
      </c>
      <c r="H27" s="0" t="n">
        <v>23</v>
      </c>
      <c r="I27" s="0" t="n">
        <v>10</v>
      </c>
      <c r="J27" s="0" t="n">
        <v>14</v>
      </c>
    </row>
    <row r="28" customFormat="false" ht="13.8" hidden="false" customHeight="false" outlineLevel="0" collapsed="false">
      <c r="A28" s="0" t="s">
        <v>29</v>
      </c>
      <c r="B28" s="0" t="n">
        <f aca="false">B14+B13</f>
        <v>2478</v>
      </c>
      <c r="C28" s="0" t="n">
        <f aca="false">C14+C13</f>
        <v>1914</v>
      </c>
      <c r="D28" s="0" t="n">
        <f aca="false">D14+D13</f>
        <v>846</v>
      </c>
      <c r="E28" s="0" t="n">
        <v>739</v>
      </c>
      <c r="F28" s="0" t="n">
        <v>713</v>
      </c>
      <c r="G28" s="0" t="n">
        <v>817</v>
      </c>
      <c r="H28" s="0" t="n">
        <v>857</v>
      </c>
      <c r="I28" s="0" t="n">
        <v>1030</v>
      </c>
      <c r="J28" s="0" t="n">
        <v>887</v>
      </c>
    </row>
    <row r="29" customFormat="false" ht="13.8" hidden="false" customHeight="false" outlineLevel="0" collapsed="false">
      <c r="A29" s="0" t="s">
        <v>16</v>
      </c>
      <c r="B29" s="0" t="n">
        <f aca="false">SUM(B17:B28)</f>
        <v>25996</v>
      </c>
      <c r="C29" s="0" t="n">
        <f aca="false">SUM(C17:C28)</f>
        <v>25549</v>
      </c>
      <c r="D29" s="0" t="n">
        <f aca="false">SUM(D17:D28)</f>
        <v>5527</v>
      </c>
      <c r="E29" s="0" t="n">
        <f aca="false">SUM(E17:E28)</f>
        <v>5584</v>
      </c>
      <c r="F29" s="0" t="n">
        <f aca="false">SUM(F17:F28)</f>
        <v>5520</v>
      </c>
      <c r="G29" s="0" t="n">
        <f aca="false">SUM(G17:G28)</f>
        <v>5702</v>
      </c>
      <c r="H29" s="0" t="n">
        <f aca="false">SUM(H17:H28)</f>
        <v>5403</v>
      </c>
      <c r="I29" s="0" t="n">
        <f aca="false">SUM(I17:I28)</f>
        <v>6069</v>
      </c>
      <c r="J29" s="0" t="n">
        <f aca="false">SUM(J17:J28)</f>
        <v>6198</v>
      </c>
    </row>
    <row r="31" customFormat="false" ht="13.8" hidden="false" customHeight="false" outlineLevel="0" collapsed="false">
      <c r="B31" s="7" t="n">
        <v>2016</v>
      </c>
      <c r="C31" s="7" t="n">
        <v>2017</v>
      </c>
      <c r="D31" s="7" t="n">
        <v>2018</v>
      </c>
      <c r="E31" s="7" t="n">
        <v>2019</v>
      </c>
      <c r="F31" s="7" t="n">
        <v>2020</v>
      </c>
      <c r="G31" s="7" t="n">
        <v>2021</v>
      </c>
      <c r="H31" s="7" t="n">
        <v>2022</v>
      </c>
      <c r="I31" s="7" t="n">
        <v>2023</v>
      </c>
      <c r="J31" s="7" t="n">
        <v>2024</v>
      </c>
    </row>
    <row r="32" customFormat="false" ht="13.8" hidden="false" customHeight="false" outlineLevel="0" collapsed="false">
      <c r="A32" s="0" t="s">
        <v>17</v>
      </c>
      <c r="B32" s="11" t="n">
        <f aca="false">B17/B$29</f>
        <v>0.0599707647330359</v>
      </c>
      <c r="C32" s="11" t="n">
        <f aca="false">C17/C$29</f>
        <v>0.0502172296371678</v>
      </c>
      <c r="D32" s="11" t="n">
        <f aca="false">D17/D$29</f>
        <v>0.0452324950244256</v>
      </c>
      <c r="E32" s="11" t="n">
        <f aca="false">E17/E$29</f>
        <v>0.0481733524355301</v>
      </c>
      <c r="F32" s="11" t="n">
        <f aca="false">F17/F$29</f>
        <v>0.0431159420289855</v>
      </c>
      <c r="G32" s="11" t="n">
        <f aca="false">G17/G$29</f>
        <v>0.0506839705366538</v>
      </c>
      <c r="H32" s="11" t="n">
        <f aca="false">H17/H$29</f>
        <v>0.0560799555802332</v>
      </c>
      <c r="I32" s="11" t="n">
        <f aca="false">I17/I$29</f>
        <v>0.0500906244850882</v>
      </c>
      <c r="J32" s="11" t="n">
        <f aca="false">J17/J$29</f>
        <v>0.042594385285576</v>
      </c>
    </row>
    <row r="33" customFormat="false" ht="13.8" hidden="false" customHeight="false" outlineLevel="0" collapsed="false">
      <c r="A33" s="0" t="s">
        <v>18</v>
      </c>
      <c r="B33" s="11" t="n">
        <f aca="false">B18/B$29</f>
        <v>0.276042468072011</v>
      </c>
      <c r="C33" s="11" t="n">
        <f aca="false">C18/C$29</f>
        <v>0.2442365650319</v>
      </c>
      <c r="D33" s="12" t="n">
        <f aca="false">D18/D$29</f>
        <v>0.408539895060612</v>
      </c>
      <c r="E33" s="11" t="n">
        <f aca="false">E18/E$29</f>
        <v>0.38932664756447</v>
      </c>
      <c r="F33" s="11" t="n">
        <f aca="false">F18/F$29</f>
        <v>0.401268115942029</v>
      </c>
      <c r="G33" s="11" t="n">
        <f aca="false">G18/G$29</f>
        <v>0.445633111189056</v>
      </c>
      <c r="H33" s="11" t="n">
        <f aca="false">H18/H$29</f>
        <v>0.435128632241347</v>
      </c>
      <c r="I33" s="11" t="n">
        <f aca="false">I18/I$29</f>
        <v>0.404349975284231</v>
      </c>
      <c r="J33" s="11" t="n">
        <f aca="false">J18/J$29</f>
        <v>0.402065182316876</v>
      </c>
    </row>
    <row r="34" customFormat="false" ht="13.8" hidden="false" customHeight="false" outlineLevel="0" collapsed="false">
      <c r="A34" s="0" t="s">
        <v>19</v>
      </c>
      <c r="B34" s="11" t="n">
        <f aca="false">B19/B$29</f>
        <v>0.0906293275888598</v>
      </c>
      <c r="C34" s="11" t="n">
        <f aca="false">C19/C$29</f>
        <v>0.0917061333124584</v>
      </c>
      <c r="D34" s="11" t="n">
        <f aca="false">D19/D$29</f>
        <v>0.0419757553826669</v>
      </c>
      <c r="E34" s="11" t="n">
        <f aca="false">E19/E$29</f>
        <v>0.0442335243553009</v>
      </c>
      <c r="F34" s="11" t="n">
        <f aca="false">F19/F$29</f>
        <v>0.0490942028985507</v>
      </c>
      <c r="G34" s="11" t="n">
        <f aca="false">G19/G$29</f>
        <v>0.0394598386531042</v>
      </c>
      <c r="H34" s="11" t="n">
        <f aca="false">H19/H$29</f>
        <v>0.0457153433277809</v>
      </c>
      <c r="I34" s="11" t="n">
        <f aca="false">I19/I$29</f>
        <v>0.0360850222441918</v>
      </c>
      <c r="J34" s="11" t="n">
        <f aca="false">J19/J$29</f>
        <v>0.0543723781865118</v>
      </c>
    </row>
    <row r="35" customFormat="false" ht="13.8" hidden="false" customHeight="false" outlineLevel="0" collapsed="false">
      <c r="A35" s="0" t="s">
        <v>20</v>
      </c>
      <c r="B35" s="11" t="n">
        <f aca="false">B20/B$29</f>
        <v>0.0115017695030005</v>
      </c>
      <c r="C35" s="11" t="n">
        <f aca="false">C20/C$29</f>
        <v>0.00872832596187718</v>
      </c>
      <c r="D35" s="11" t="n">
        <f aca="false">D20/D$29</f>
        <v>0.00940835896508051</v>
      </c>
      <c r="E35" s="11" t="n">
        <f aca="false">E20/E$29</f>
        <v>0.0082378223495702</v>
      </c>
      <c r="F35" s="11" t="n">
        <f aca="false">F20/F$29</f>
        <v>0.00978260869565218</v>
      </c>
      <c r="G35" s="11" t="n">
        <f aca="false">G20/G$29</f>
        <v>0.00999649245878639</v>
      </c>
      <c r="H35" s="11" t="n">
        <f aca="false">H20/H$29</f>
        <v>0.0131408476772164</v>
      </c>
      <c r="I35" s="11" t="n">
        <f aca="false">I20/I$29</f>
        <v>0.0113692535837865</v>
      </c>
      <c r="J35" s="11" t="n">
        <f aca="false">J20/J$29</f>
        <v>0.00726040658276864</v>
      </c>
    </row>
    <row r="36" customFormat="false" ht="13.8" hidden="false" customHeight="false" outlineLevel="0" collapsed="false">
      <c r="A36" s="0" t="s">
        <v>21</v>
      </c>
      <c r="B36" s="11" t="n">
        <f aca="false">B21/B$29</f>
        <v>0.000769349130635482</v>
      </c>
      <c r="C36" s="11" t="n">
        <f aca="false">C21/C$29</f>
        <v>0.000626247602645896</v>
      </c>
      <c r="D36" s="11" t="n">
        <f aca="false">D21/D$29</f>
        <v>0.000361859960195404</v>
      </c>
      <c r="E36" s="11" t="n">
        <f aca="false">E21/E$29</f>
        <v>0.000358166189111748</v>
      </c>
      <c r="F36" s="11" t="n">
        <f aca="false">F21/F$29</f>
        <v>0.00036231884057971</v>
      </c>
      <c r="G36" s="11" t="n">
        <f aca="false">G21/G$29</f>
        <v>0.000175377060680463</v>
      </c>
      <c r="H36" s="11" t="n">
        <f aca="false">H21/H$29</f>
        <v>0.000555247084952804</v>
      </c>
      <c r="I36" s="11" t="n">
        <f aca="false">I21/I$29</f>
        <v>0.000164771791069369</v>
      </c>
      <c r="J36" s="11" t="n">
        <f aca="false">J21/J$29</f>
        <v>0</v>
      </c>
    </row>
    <row r="37" customFormat="false" ht="13.8" hidden="false" customHeight="false" outlineLevel="0" collapsed="false">
      <c r="A37" s="0" t="s">
        <v>22</v>
      </c>
      <c r="B37" s="11" t="n">
        <f aca="false">B22/B$29</f>
        <v>0.00830897061086321</v>
      </c>
      <c r="C37" s="11" t="n">
        <f aca="false">C22/C$29</f>
        <v>0.00876746643704255</v>
      </c>
      <c r="D37" s="11" t="n">
        <f aca="false">D22/D$29</f>
        <v>0.017007418129184</v>
      </c>
      <c r="E37" s="11" t="n">
        <f aca="false">E22/E$29</f>
        <v>0.0152220630372493</v>
      </c>
      <c r="F37" s="11" t="n">
        <f aca="false">F22/F$29</f>
        <v>0.0155797101449275</v>
      </c>
      <c r="G37" s="11" t="n">
        <f aca="false">G22/G$29</f>
        <v>0.0149070501578394</v>
      </c>
      <c r="H37" s="11" t="n">
        <f aca="false">H22/H$29</f>
        <v>0.0159170831019804</v>
      </c>
      <c r="I37" s="11" t="n">
        <f aca="false">I22/I$29</f>
        <v>0.0133465150766189</v>
      </c>
      <c r="J37" s="11" t="n">
        <f aca="false">J22/J$29</f>
        <v>0.0116166505324298</v>
      </c>
    </row>
    <row r="38" customFormat="false" ht="13.8" hidden="false" customHeight="false" outlineLevel="0" collapsed="false">
      <c r="A38" s="0" t="s">
        <v>23</v>
      </c>
      <c r="B38" s="11" t="n">
        <f aca="false">B23/B$29</f>
        <v>0.32220341591014</v>
      </c>
      <c r="C38" s="12" t="n">
        <f aca="false">C23/C$29</f>
        <v>0.409996477357235</v>
      </c>
      <c r="D38" s="11" t="n">
        <f aca="false">D23/D$29</f>
        <v>0.28424099873349</v>
      </c>
      <c r="E38" s="11" t="n">
        <f aca="false">E23/E$29</f>
        <v>0.299068767908309</v>
      </c>
      <c r="F38" s="11" t="n">
        <f aca="false">F23/F$29</f>
        <v>0.294384057971014</v>
      </c>
      <c r="G38" s="11" t="n">
        <f aca="false">G23/G$29</f>
        <v>0.237986671343388</v>
      </c>
      <c r="H38" s="11" t="n">
        <f aca="false">H23/H$29</f>
        <v>0.205071256709236</v>
      </c>
      <c r="I38" s="11" t="n">
        <f aca="false">I23/I$29</f>
        <v>0.259350799143187</v>
      </c>
      <c r="J38" s="11" t="n">
        <f aca="false">J23/J$29</f>
        <v>0.267666989351404</v>
      </c>
    </row>
    <row r="39" customFormat="false" ht="13.8" hidden="false" customHeight="false" outlineLevel="0" collapsed="false">
      <c r="A39" s="0" t="s">
        <v>24</v>
      </c>
      <c r="B39" s="11" t="n">
        <f aca="false">B24/B$29</f>
        <v>0.0913217418064318</v>
      </c>
      <c r="C39" s="11" t="n">
        <f aca="false">C24/C$29</f>
        <v>0.0830952287760774</v>
      </c>
      <c r="D39" s="11" t="n">
        <f aca="false">D24/D$29</f>
        <v>0.032205536457391</v>
      </c>
      <c r="E39" s="11" t="n">
        <f aca="false">E24/E$29</f>
        <v>0.0544412607449857</v>
      </c>
      <c r="F39" s="11" t="n">
        <f aca="false">F24/F$29</f>
        <v>0.0402173913043478</v>
      </c>
      <c r="G39" s="11" t="n">
        <f aca="false">G24/G$29</f>
        <v>0.0492809540512101</v>
      </c>
      <c r="H39" s="11" t="n">
        <f aca="false">H24/H$29</f>
        <v>0.0584860262816954</v>
      </c>
      <c r="I39" s="11" t="n">
        <f aca="false">I24/I$29</f>
        <v>0.0502553962761575</v>
      </c>
      <c r="J39" s="11" t="n">
        <f aca="false">J24/J$29</f>
        <v>0.0653436592449177</v>
      </c>
    </row>
    <row r="40" customFormat="false" ht="13.8" hidden="false" customHeight="false" outlineLevel="0" collapsed="false">
      <c r="A40" s="0" t="s">
        <v>25</v>
      </c>
      <c r="B40" s="11" t="n">
        <f aca="false">B25/B$29</f>
        <v>0.0181566394829974</v>
      </c>
      <c r="C40" s="11" t="n">
        <f aca="false">C25/C$29</f>
        <v>0.0131903401307292</v>
      </c>
      <c r="D40" s="11" t="n">
        <f aca="false">D25/D$29</f>
        <v>0.00524696942283336</v>
      </c>
      <c r="E40" s="11" t="n">
        <f aca="false">E25/E$29</f>
        <v>0.00501432664756447</v>
      </c>
      <c r="F40" s="11" t="n">
        <f aca="false">F25/F$29</f>
        <v>0.0135869565217391</v>
      </c>
      <c r="G40" s="11" t="n">
        <f aca="false">G25/G$29</f>
        <v>0.00491055769905296</v>
      </c>
      <c r="H40" s="11" t="n">
        <f aca="false">H25/H$29</f>
        <v>0.00666296501943365</v>
      </c>
      <c r="I40" s="11" t="n">
        <f aca="false">I25/I$29</f>
        <v>0.00362497940352612</v>
      </c>
      <c r="J40" s="11" t="n">
        <f aca="false">J25/J$29</f>
        <v>0.0037108744756373</v>
      </c>
    </row>
    <row r="41" customFormat="false" ht="13.8" hidden="false" customHeight="false" outlineLevel="0" collapsed="false">
      <c r="A41" s="0" t="s">
        <v>26</v>
      </c>
      <c r="B41" s="11" t="n">
        <f aca="false">B26/B$29</f>
        <v>0.00261578704416064</v>
      </c>
      <c r="C41" s="11" t="n">
        <f aca="false">C26/C$29</f>
        <v>0.00164389995694548</v>
      </c>
      <c r="D41" s="11" t="n">
        <f aca="false">D26/D$29</f>
        <v>0.000180929980097702</v>
      </c>
      <c r="E41" s="11" t="n">
        <f aca="false">E26/E$29</f>
        <v>0.000537249283667622</v>
      </c>
      <c r="F41" s="11" t="n">
        <f aca="false">F26/F$29</f>
        <v>0.00036231884057971</v>
      </c>
      <c r="G41" s="11" t="n">
        <f aca="false">G26/G$29</f>
        <v>0</v>
      </c>
      <c r="H41" s="11" t="n">
        <f aca="false">H26/H$29</f>
        <v>0.000370164723301869</v>
      </c>
      <c r="I41" s="11" t="n">
        <f aca="false">I26/I$29</f>
        <v>0</v>
      </c>
      <c r="J41" s="11" t="n">
        <f aca="false">J26/J$29</f>
        <v>0</v>
      </c>
    </row>
    <row r="42" customFormat="false" ht="13.8" hidden="false" customHeight="false" outlineLevel="0" collapsed="false">
      <c r="A42" s="0" t="s">
        <v>27</v>
      </c>
      <c r="B42" s="11" t="n">
        <f aca="false">B27/B$29</f>
        <v>0.023157408832128</v>
      </c>
      <c r="C42" s="11" t="n">
        <f aca="false">C27/C$29</f>
        <v>0.0128772163294062</v>
      </c>
      <c r="D42" s="11" t="n">
        <f aca="false">D27/D$29</f>
        <v>0.00253301972136783</v>
      </c>
      <c r="E42" s="11" t="n">
        <f aca="false">E27/E$29</f>
        <v>0.00304441260744986</v>
      </c>
      <c r="F42" s="11" t="n">
        <f aca="false">F27/F$29</f>
        <v>0.00307971014492754</v>
      </c>
      <c r="G42" s="11" t="n">
        <f aca="false">G27/G$29</f>
        <v>0.00368291827428972</v>
      </c>
      <c r="H42" s="11" t="n">
        <f aca="false">H27/H$29</f>
        <v>0.0042568943179715</v>
      </c>
      <c r="I42" s="11" t="n">
        <f aca="false">I27/I$29</f>
        <v>0.00164771791069369</v>
      </c>
      <c r="J42" s="11" t="n">
        <f aca="false">J27/J$29</f>
        <v>0.00225879315908358</v>
      </c>
    </row>
    <row r="43" customFormat="false" ht="13.8" hidden="false" customHeight="false" outlineLevel="0" collapsed="false">
      <c r="A43" s="0" t="s">
        <v>29</v>
      </c>
      <c r="B43" s="11" t="n">
        <f aca="false">B28/B$29</f>
        <v>0.0953223572857363</v>
      </c>
      <c r="C43" s="11" t="n">
        <f aca="false">C28/C$29</f>
        <v>0.0749148694665153</v>
      </c>
      <c r="D43" s="11" t="n">
        <f aca="false">D28/D$29</f>
        <v>0.153066763162656</v>
      </c>
      <c r="E43" s="11" t="n">
        <f aca="false">E28/E$29</f>
        <v>0.132342406876791</v>
      </c>
      <c r="F43" s="11" t="n">
        <f aca="false">F28/F$29</f>
        <v>0.129166666666667</v>
      </c>
      <c r="G43" s="11" t="n">
        <f aca="false">G28/G$29</f>
        <v>0.143283058575938</v>
      </c>
      <c r="H43" s="11" t="n">
        <f aca="false">H28/H$29</f>
        <v>0.158615583934851</v>
      </c>
      <c r="I43" s="11" t="n">
        <f aca="false">I28/I$29</f>
        <v>0.16971494480145</v>
      </c>
      <c r="J43" s="11" t="n">
        <f aca="false">J28/J$29</f>
        <v>0.143110680864795</v>
      </c>
    </row>
    <row r="44" customFormat="false" ht="13.8" hidden="false" customHeight="false" outlineLevel="0" collapsed="false">
      <c r="A44" s="0" t="s">
        <v>16</v>
      </c>
      <c r="B44" s="0" t="n">
        <f aca="false">B29/B$29</f>
        <v>1</v>
      </c>
      <c r="C44" s="0" t="n">
        <f aca="false">C29/C$29</f>
        <v>1</v>
      </c>
      <c r="D44" s="0" t="n">
        <f aca="false">D29/D$29</f>
        <v>1</v>
      </c>
      <c r="E44" s="0" t="n">
        <f aca="false">E29/E$29</f>
        <v>1</v>
      </c>
      <c r="F44" s="0" t="n">
        <f aca="false">F29/F$29</f>
        <v>1</v>
      </c>
      <c r="G44" s="0" t="n">
        <f aca="false">G29/G$29</f>
        <v>1</v>
      </c>
      <c r="H44" s="0" t="n">
        <f aca="false">H29/H$29</f>
        <v>1</v>
      </c>
      <c r="I44" s="0" t="n">
        <f aca="false">I29/I$29</f>
        <v>1</v>
      </c>
      <c r="J44" s="0" t="n">
        <f aca="false">J29/J$29</f>
        <v>1</v>
      </c>
    </row>
    <row r="46" customFormat="false" ht="13.8" hidden="false" customHeight="false" outlineLevel="0" collapsed="false">
      <c r="B46" s="7" t="n">
        <v>2016</v>
      </c>
      <c r="C46" s="7" t="n">
        <v>2017</v>
      </c>
      <c r="D46" s="7" t="n">
        <v>2018</v>
      </c>
      <c r="E46" s="7" t="n">
        <v>2019</v>
      </c>
      <c r="F46" s="7" t="n">
        <v>2020</v>
      </c>
      <c r="G46" s="7" t="n">
        <v>2021</v>
      </c>
      <c r="H46" s="7" t="n">
        <v>2022</v>
      </c>
      <c r="I46" s="7" t="n">
        <v>2023</v>
      </c>
      <c r="J46" s="7" t="n">
        <v>2024</v>
      </c>
    </row>
    <row r="47" customFormat="false" ht="13.8" hidden="false" customHeight="false" outlineLevel="0" collapsed="false">
      <c r="A47" s="0" t="s">
        <v>17</v>
      </c>
      <c r="C47" s="11" t="n">
        <f aca="false">C17/B17 - 1</f>
        <v>-0.177036561898653</v>
      </c>
      <c r="D47" s="12" t="n">
        <f aca="false">D17/C17 - 1</f>
        <v>-0.80514419329696</v>
      </c>
      <c r="E47" s="11" t="n">
        <f aca="false">E17/D17 - 1</f>
        <v>0.0760000000000001</v>
      </c>
      <c r="F47" s="11" t="n">
        <f aca="false">F17/E17 - 1</f>
        <v>-0.115241635687732</v>
      </c>
      <c r="G47" s="11" t="n">
        <f aca="false">G17/F17 - 1</f>
        <v>0.214285714285714</v>
      </c>
      <c r="H47" s="11" t="n">
        <f aca="false">H17/G17 - 1</f>
        <v>0.0484429065743945</v>
      </c>
      <c r="I47" s="11" t="n">
        <f aca="false">I17/H17 - 1</f>
        <v>0.00330033003300323</v>
      </c>
      <c r="J47" s="11" t="n">
        <f aca="false">J17/I17 - 1</f>
        <v>-0.131578947368421</v>
      </c>
    </row>
    <row r="48" customFormat="false" ht="13.8" hidden="false" customHeight="false" outlineLevel="0" collapsed="false">
      <c r="A48" s="0" t="s">
        <v>18</v>
      </c>
      <c r="C48" s="11" t="n">
        <f aca="false">C18/B18 - 1</f>
        <v>-0.130434782608696</v>
      </c>
      <c r="D48" s="12" t="n">
        <f aca="false">D18/C18 - 1</f>
        <v>-0.638141025641026</v>
      </c>
      <c r="E48" s="11" t="n">
        <f aca="false">E18/D18 - 1</f>
        <v>-0.0372010628875111</v>
      </c>
      <c r="F48" s="11" t="n">
        <f aca="false">F18/E18 - 1</f>
        <v>0.0188592456301748</v>
      </c>
      <c r="G48" s="11" t="n">
        <f aca="false">G18/F18 - 1</f>
        <v>0.147178329571106</v>
      </c>
      <c r="H48" s="11" t="n">
        <f aca="false">H18/G18 - 1</f>
        <v>-0.0747737111373475</v>
      </c>
      <c r="I48" s="11" t="n">
        <f aca="false">I18/H18 - 1</f>
        <v>0.0438111441939599</v>
      </c>
      <c r="J48" s="11" t="n">
        <f aca="false">J18/I18 - 1</f>
        <v>0.015484922575387</v>
      </c>
    </row>
    <row r="49" customFormat="false" ht="13.8" hidden="false" customHeight="false" outlineLevel="0" collapsed="false">
      <c r="A49" s="0" t="s">
        <v>19</v>
      </c>
      <c r="C49" s="11" t="n">
        <f aca="false">C19/B19 - 1</f>
        <v>-0.00551782682512736</v>
      </c>
      <c r="D49" s="12" t="n">
        <f aca="false">D19/C19 - 1</f>
        <v>-0.900981647460521</v>
      </c>
      <c r="E49" s="11" t="n">
        <f aca="false">E19/D19 - 1</f>
        <v>0.0646551724137932</v>
      </c>
      <c r="F49" s="11" t="n">
        <f aca="false">F19/E19 - 1</f>
        <v>0.097165991902834</v>
      </c>
      <c r="G49" s="11" t="n">
        <f aca="false">G19/F19 - 1</f>
        <v>-0.169741697416974</v>
      </c>
      <c r="H49" s="11" t="n">
        <f aca="false">H19/G19 - 1</f>
        <v>0.0977777777777777</v>
      </c>
      <c r="I49" s="11" t="n">
        <f aca="false">I19/H19 - 1</f>
        <v>-0.11336032388664</v>
      </c>
      <c r="J49" s="11" t="n">
        <f aca="false">J19/I19 - 1</f>
        <v>0.538812785388128</v>
      </c>
    </row>
    <row r="50" customFormat="false" ht="13.8" hidden="false" customHeight="false" outlineLevel="0" collapsed="false">
      <c r="A50" s="0" t="s">
        <v>20</v>
      </c>
      <c r="C50" s="11" t="n">
        <f aca="false">C20/B20 - 1</f>
        <v>-0.254180602006689</v>
      </c>
      <c r="D50" s="12" t="n">
        <f aca="false">D20/C20 - 1</f>
        <v>-0.766816143497758</v>
      </c>
      <c r="E50" s="11" t="n">
        <f aca="false">E20/D20 - 1</f>
        <v>-0.115384615384615</v>
      </c>
      <c r="F50" s="11" t="n">
        <f aca="false">F20/E20 - 1</f>
        <v>0.173913043478261</v>
      </c>
      <c r="G50" s="11" t="n">
        <f aca="false">G20/F20 - 1</f>
        <v>0.0555555555555556</v>
      </c>
      <c r="H50" s="11" t="n">
        <f aca="false">H20/G20 - 1</f>
        <v>0.245614035087719</v>
      </c>
      <c r="I50" s="11" t="n">
        <f aca="false">I20/H20 - 1</f>
        <v>-0.028169014084507</v>
      </c>
      <c r="J50" s="11" t="n">
        <f aca="false">J20/I20 - 1</f>
        <v>-0.347826086956522</v>
      </c>
    </row>
    <row r="51" customFormat="false" ht="13.8" hidden="false" customHeight="false" outlineLevel="0" collapsed="false">
      <c r="A51" s="0" t="s">
        <v>21</v>
      </c>
      <c r="C51" s="11" t="n">
        <f aca="false">C21/B21 - 1</f>
        <v>-0.2</v>
      </c>
      <c r="D51" s="12" t="n">
        <f aca="false">D21/C21 - 1</f>
        <v>-0.875</v>
      </c>
      <c r="E51" s="11" t="n">
        <f aca="false">E21/D21 - 1</f>
        <v>0</v>
      </c>
      <c r="F51" s="11" t="n">
        <f aca="false">F21/E21 - 1</f>
        <v>0</v>
      </c>
      <c r="G51" s="11" t="n">
        <f aca="false">G21/F21 - 1</f>
        <v>-0.5</v>
      </c>
      <c r="H51" s="12" t="n">
        <f aca="false">H21/G21 - 1</f>
        <v>2</v>
      </c>
      <c r="I51" s="11" t="n">
        <f aca="false">I21/H21 - 1</f>
        <v>-0.666666666666667</v>
      </c>
      <c r="J51" s="11" t="n">
        <f aca="false">J21/I21 - 1</f>
        <v>-1</v>
      </c>
    </row>
    <row r="52" customFormat="false" ht="13.8" hidden="false" customHeight="false" outlineLevel="0" collapsed="false">
      <c r="A52" s="0" t="s">
        <v>22</v>
      </c>
      <c r="C52" s="11" t="n">
        <f aca="false">C22/B22 - 1</f>
        <v>0.037037037037037</v>
      </c>
      <c r="D52" s="12" t="n">
        <f aca="false">D22/C22 - 1</f>
        <v>-0.580357142857143</v>
      </c>
      <c r="E52" s="11" t="n">
        <f aca="false">E22/D22 - 1</f>
        <v>-0.0957446808510638</v>
      </c>
      <c r="F52" s="11" t="n">
        <f aca="false">F22/E22 - 1</f>
        <v>0.0117647058823529</v>
      </c>
      <c r="G52" s="11" t="n">
        <f aca="false">G22/F22 - 1</f>
        <v>-0.0116279069767442</v>
      </c>
      <c r="H52" s="11" t="n">
        <f aca="false">H22/G22 - 1</f>
        <v>0.0117647058823529</v>
      </c>
      <c r="I52" s="11" t="n">
        <f aca="false">I22/H22 - 1</f>
        <v>-0.0581395348837209</v>
      </c>
      <c r="J52" s="11" t="n">
        <f aca="false">J22/I22 - 1</f>
        <v>-0.111111111111111</v>
      </c>
    </row>
    <row r="53" customFormat="false" ht="13.8" hidden="false" customHeight="false" outlineLevel="0" collapsed="false">
      <c r="A53" s="0" t="s">
        <v>23</v>
      </c>
      <c r="C53" s="11" t="n">
        <f aca="false">C23/B23 - 1</f>
        <v>0.25059694364852</v>
      </c>
      <c r="D53" s="12" t="n">
        <f aca="false">D23/C23 - 1</f>
        <v>-0.850023866348449</v>
      </c>
      <c r="E53" s="11" t="n">
        <f aca="false">E23/D23 - 1</f>
        <v>0.0630171865054106</v>
      </c>
      <c r="F53" s="11" t="n">
        <f aca="false">F23/E23 - 1</f>
        <v>-0.0269461077844312</v>
      </c>
      <c r="G53" s="11" t="n">
        <f aca="false">G23/F23 - 1</f>
        <v>-0.164923076923077</v>
      </c>
      <c r="H53" s="11" t="n">
        <f aca="false">H23/G23 - 1</f>
        <v>-0.18349299926308</v>
      </c>
      <c r="I53" s="11" t="n">
        <f aca="false">I23/H23 - 1</f>
        <v>0.42057761732852</v>
      </c>
      <c r="J53" s="11" t="n">
        <f aca="false">J23/I23 - 1</f>
        <v>0.054002541296061</v>
      </c>
    </row>
    <row r="54" customFormat="false" ht="13.8" hidden="false" customHeight="false" outlineLevel="0" collapsed="false">
      <c r="A54" s="0" t="s">
        <v>24</v>
      </c>
      <c r="C54" s="11" t="n">
        <f aca="false">C24/B24 - 1</f>
        <v>-0.105728727885425</v>
      </c>
      <c r="D54" s="12" t="n">
        <f aca="false">D24/C24 - 1</f>
        <v>-0.916156382477626</v>
      </c>
      <c r="E54" s="11" t="n">
        <f aca="false">E24/D24 - 1</f>
        <v>0.707865168539326</v>
      </c>
      <c r="F54" s="11" t="n">
        <f aca="false">F24/E24 - 1</f>
        <v>-0.269736842105263</v>
      </c>
      <c r="G54" s="11" t="n">
        <f aca="false">G24/F24 - 1</f>
        <v>0.265765765765766</v>
      </c>
      <c r="H54" s="11" t="n">
        <f aca="false">H24/G24 - 1</f>
        <v>0.124555160142349</v>
      </c>
      <c r="I54" s="11" t="n">
        <f aca="false">I24/H24 - 1</f>
        <v>-0.0348101265822784</v>
      </c>
      <c r="J54" s="11" t="n">
        <f aca="false">J24/I24 - 1</f>
        <v>0.327868852459016</v>
      </c>
    </row>
    <row r="55" customFormat="false" ht="13.8" hidden="false" customHeight="false" outlineLevel="0" collapsed="false">
      <c r="A55" s="0" t="s">
        <v>25</v>
      </c>
      <c r="C55" s="11" t="n">
        <f aca="false">C25/B25 - 1</f>
        <v>-0.286016949152542</v>
      </c>
      <c r="D55" s="12" t="n">
        <f aca="false">D25/C25 - 1</f>
        <v>-0.913946587537092</v>
      </c>
      <c r="E55" s="11" t="n">
        <f aca="false">E25/D25 - 1</f>
        <v>-0.0344827586206896</v>
      </c>
      <c r="F55" s="12" t="n">
        <f aca="false">F25/E25 - 1</f>
        <v>1.67857142857143</v>
      </c>
      <c r="G55" s="12" t="n">
        <f aca="false">G25/F25 - 1</f>
        <v>-0.626666666666667</v>
      </c>
      <c r="H55" s="11" t="n">
        <f aca="false">H25/G25 - 1</f>
        <v>0.285714285714286</v>
      </c>
      <c r="I55" s="11" t="n">
        <f aca="false">I25/H25 - 1</f>
        <v>-0.388888888888889</v>
      </c>
      <c r="J55" s="11" t="n">
        <f aca="false">J25/I25 - 1</f>
        <v>0.0454545454545454</v>
      </c>
    </row>
    <row r="56" customFormat="false" ht="13.8" hidden="false" customHeight="false" outlineLevel="0" collapsed="false">
      <c r="A56" s="0" t="s">
        <v>26</v>
      </c>
      <c r="C56" s="11" t="n">
        <f aca="false">C26/B26 - 1</f>
        <v>-0.382352941176471</v>
      </c>
      <c r="D56" s="12" t="n">
        <f aca="false">D26/C26 - 1</f>
        <v>-0.976190476190476</v>
      </c>
      <c r="E56" s="12" t="n">
        <f aca="false">E26/D26 - 1</f>
        <v>2</v>
      </c>
      <c r="F56" s="11" t="n">
        <f aca="false">F26/E26 - 1</f>
        <v>-0.333333333333333</v>
      </c>
      <c r="G56" s="12" t="n">
        <f aca="false">G26/F26 - 1</f>
        <v>-1</v>
      </c>
      <c r="H56" s="12" t="n">
        <v>2</v>
      </c>
      <c r="I56" s="12" t="n">
        <f aca="false">I26/H26 - 1</f>
        <v>-1</v>
      </c>
      <c r="J56" s="11" t="n">
        <v>0</v>
      </c>
    </row>
    <row r="57" customFormat="false" ht="13.8" hidden="false" customHeight="false" outlineLevel="0" collapsed="false">
      <c r="A57" s="0" t="s">
        <v>27</v>
      </c>
      <c r="C57" s="11" t="n">
        <f aca="false">C27/B27 - 1</f>
        <v>-0.453488372093023</v>
      </c>
      <c r="D57" s="12" t="n">
        <f aca="false">D27/C27 - 1</f>
        <v>-0.957446808510638</v>
      </c>
      <c r="E57" s="11" t="n">
        <f aca="false">E27/D27 - 1</f>
        <v>0.214285714285714</v>
      </c>
      <c r="F57" s="11" t="n">
        <f aca="false">F27/E27 - 1</f>
        <v>0</v>
      </c>
      <c r="G57" s="11" t="n">
        <f aca="false">G27/F27 - 1</f>
        <v>0.235294117647059</v>
      </c>
      <c r="H57" s="11" t="n">
        <f aca="false">H27/G27 - 1</f>
        <v>0.0952380952380953</v>
      </c>
      <c r="I57" s="12" t="n">
        <f aca="false">I27/H27 - 1</f>
        <v>-0.565217391304348</v>
      </c>
      <c r="J57" s="11" t="n">
        <f aca="false">J27/I27 - 1</f>
        <v>0.4</v>
      </c>
    </row>
    <row r="58" customFormat="false" ht="13.8" hidden="false" customHeight="false" outlineLevel="0" collapsed="false">
      <c r="A58" s="0" t="s">
        <v>29</v>
      </c>
      <c r="C58" s="11" t="n">
        <f aca="false">C28/B28 - 1</f>
        <v>-0.227602905569007</v>
      </c>
      <c r="D58" s="12" t="n">
        <f aca="false">D28/C28 - 1</f>
        <v>-0.557993730407524</v>
      </c>
      <c r="E58" s="11" t="n">
        <f aca="false">E28/D28 - 1</f>
        <v>-0.126477541371158</v>
      </c>
      <c r="F58" s="11" t="n">
        <f aca="false">F28/E28 - 1</f>
        <v>-0.0351826792963464</v>
      </c>
      <c r="G58" s="11" t="n">
        <f aca="false">G28/F28 - 1</f>
        <v>0.14586255259467</v>
      </c>
      <c r="H58" s="11" t="n">
        <f aca="false">H28/G28 - 1</f>
        <v>0.0489596083231334</v>
      </c>
      <c r="I58" s="12" t="n">
        <f aca="false">I28/H28 - 1</f>
        <v>0.201866977829638</v>
      </c>
      <c r="J58" s="11" t="n">
        <f aca="false">J28/I28 - 1</f>
        <v>-0.138834951456311</v>
      </c>
    </row>
    <row r="59" customFormat="false" ht="13.8" hidden="false" customHeight="false" outlineLevel="0" collapsed="false">
      <c r="A59" s="0" t="s">
        <v>16</v>
      </c>
      <c r="C59" s="11" t="n">
        <f aca="false">C29/B29 - 1</f>
        <v>-0.017194953069703</v>
      </c>
      <c r="D59" s="12" t="n">
        <f aca="false">D29/C29 - 1</f>
        <v>-0.783670593761008</v>
      </c>
      <c r="E59" s="11" t="n">
        <f aca="false">E29/D29 - 1</f>
        <v>0.010313008865569</v>
      </c>
      <c r="F59" s="11" t="n">
        <f aca="false">F29/E29 - 1</f>
        <v>-0.0114613180515759</v>
      </c>
      <c r="G59" s="11" t="n">
        <f aca="false">G29/F29 - 1</f>
        <v>0.0329710144927535</v>
      </c>
      <c r="H59" s="11" t="n">
        <f aca="false">H29/G29 - 1</f>
        <v>-0.0524377411434585</v>
      </c>
      <c r="I59" s="11" t="n">
        <f aca="false">I29/H29 - 1</f>
        <v>0.123264852859522</v>
      </c>
      <c r="J59" s="11" t="n">
        <f aca="false">J29/I29 - 1</f>
        <v>0.0212555610479486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Рустэм Дивеев</dc:creator>
  <dc:description/>
  <dc:language>ru-RU</dc:language>
  <cp:lastModifiedBy/>
  <dcterms:modified xsi:type="dcterms:W3CDTF">2025-10-03T00:14:45Z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